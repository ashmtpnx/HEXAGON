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Schemes Database" sheetId="2" state="visible" r:id="rId4"/>
    <sheet name="Point Allocation System" sheetId="3" state="visible" r:id="rId5"/>
    <sheet name="Match Calculator" sheetId="4" state="visible" r:id="rId6"/>
    <sheet name="All Formulas Reference" sheetId="5" state="visible"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<sst xmlns="http://schemas.openxmlformats.org/spreadsheetml/2006/main" count="494" uniqueCount="347">
  <si>
    <t xml:space="preserve">MoSJE Unified Scheme Access Platform — Team Hexagon</t>
  </si>
  <si>
    <t xml:space="preserve">SIH 2026 · Problem Statement #92 · AI-Driven Scheme Matching for Marginalized Entrepreneurs</t>
  </si>
  <si>
    <t xml:space="preserve">SCOPE &amp; HONESTY NOTE</t>
  </si>
  <si>
    <t xml:space="preserve">MoSJE's own fragmentation figure (33+ separate scheme portals) refers to disconnected WEBSITES, not</t>
  </si>
  <si>
    <t xml:space="preserve">33 distinct schemes with published numeric eligibility data. This workbook lists every real, publicly</t>
  </si>
  <si>
    <t xml:space="preserve">verifiable MoSJE (and closely linked) scheme found via research — 21 schemes — rather than inventing</t>
  </si>
  <si>
    <t xml:space="preserve">fake schemes or fabricated eligibility numbers to force a count of 33. Numeric gaps are marked plainly</t>
  </si>
  <si>
    <t xml:space="preserve">("ASSUMED for demo") rather than guessed and presented as fact — this protects your credibility if a</t>
  </si>
  <si>
    <t xml:space="preserve">judge fact-checks a figure live.</t>
  </si>
  <si>
    <t xml:space="preserve">HOW TO READ THE COLOR CODING</t>
  </si>
  <si>
    <t xml:space="preserve">Confirmed — figure verified from an official government scheme document</t>
  </si>
  <si>
    <t xml:space="preserve">Assumed for demo — no official numeric figure published; realistic placeholder used, verify before quoting</t>
  </si>
  <si>
    <t xml:space="preserve">Editable input cell — change this value on the Match Calculator sheet</t>
  </si>
  <si>
    <t xml:space="preserve">Partial data — category/purpose real, exact numbers not publicly listed</t>
  </si>
  <si>
    <t xml:space="preserve">WORKBOOK CONTENTS</t>
  </si>
  <si>
    <t xml:space="preserve">1. README</t>
  </si>
  <si>
    <t xml:space="preserve">This page — scope, legend, navigation</t>
  </si>
  <si>
    <t xml:space="preserve">2. Schemes Database</t>
  </si>
  <si>
    <t xml:space="preserve">21 real MoSJE schemes — ministry, category, purpose, eligibility, official source</t>
  </si>
  <si>
    <t xml:space="preserve">3. Point Allocation System</t>
  </si>
  <si>
    <t xml:space="preserve">The matching algorithm's weight/point logic, explained</t>
  </si>
  <si>
    <t xml:space="preserve">4. Match Calculator</t>
  </si>
  <si>
    <t xml:space="preserve">Live formula-driven calculator — edit applicant profile, scores recalculate instantly</t>
  </si>
  <si>
    <t xml:space="preserve">5. All Formulas Reference</t>
  </si>
  <si>
    <t xml:space="preserve">Every calculation used across the platform, with live worked examples</t>
  </si>
  <si>
    <t xml:space="preserve">PREPARED FOR</t>
  </si>
  <si>
    <t xml:space="preserve">Team Hexagon · Smart India Hackathon 2026 · Software Track · Theme: Ministry-linked Social Welfare Tech</t>
  </si>
  <si>
    <t xml:space="preserve">MoSJE Schemes Database</t>
  </si>
  <si>
    <t xml:space="preserve">21 real, source-verified schemes — full eligibility detail and official references</t>
  </si>
  <si>
    <t xml:space="preserve">#</t>
  </si>
  <si>
    <t xml:space="preserve">Scheme Name</t>
  </si>
  <si>
    <t xml:space="preserve">Ministry/Dept</t>
  </si>
  <si>
    <t xml:space="preserve">Type</t>
  </si>
  <si>
    <t xml:space="preserve">Target Category</t>
  </si>
  <si>
    <t xml:space="preserve">Age Range</t>
  </si>
  <si>
    <t xml:space="preserve">Income Limit (Annual)</t>
  </si>
  <si>
    <t xml:space="preserve">Business/Applicant Stage</t>
  </si>
  <si>
    <t xml:space="preserve">Key Benefit</t>
  </si>
  <si>
    <t xml:space="preserve">Data Completeness</t>
  </si>
  <si>
    <t xml:space="preserve">Source</t>
  </si>
  <si>
    <t xml:space="preserve">Stand-Up India</t>
  </si>
  <si>
    <t xml:space="preserve">DFS / MoSJE (SC-ST focus)</t>
  </si>
  <si>
    <t xml:space="preserve">Entrepreneurship (Loan)</t>
  </si>
  <si>
    <t xml:space="preserve">SC / ST / Women</t>
  </si>
  <si>
    <t xml:space="preserve">18+ (adult applicant)</t>
  </si>
  <si>
    <t xml:space="preserve">Not capped — first-time entrepreneur focus</t>
  </si>
  <si>
    <t xml:space="preserve">First-time / Greenfield enterprise</t>
  </si>
  <si>
    <t xml:space="preserve">Bank loan ₹10 lakh – ₹1 crore (manufacturing/services/trading)</t>
  </si>
  <si>
    <t xml:space="preserve">Partial — refer official guidelines for exact figures</t>
  </si>
  <si>
    <t xml:space="preserve">standupmitra.in — Stand-Up India Scheme Guidelines</t>
  </si>
  <si>
    <t xml:space="preserve">Venture Capital Fund for Scheduled Castes (VCF-SC)</t>
  </si>
  <si>
    <t xml:space="preserve">MoSJE</t>
  </si>
  <si>
    <t xml:space="preserve">Entrepreneurship (Equity/VC)</t>
  </si>
  <si>
    <t xml:space="preserve">SC</t>
  </si>
  <si>
    <t xml:space="preserve">18+</t>
  </si>
  <si>
    <t xml:space="preserve">Not publicly specified</t>
  </si>
  <si>
    <t xml:space="preserve">Idea / Early / Existing</t>
  </si>
  <si>
    <t xml:space="preserve">Concessional venture financing for SC entrepreneurs</t>
  </si>
  <si>
    <t xml:space="preserve">MoSJE / IFCI Venture Capital Funds Ltd</t>
  </si>
  <si>
    <t xml:space="preserve">National SC-ST Hub (NSSH)</t>
  </si>
  <si>
    <t xml:space="preserve">MoSJE + DPIIT</t>
  </si>
  <si>
    <t xml:space="preserve">Entrepreneurship (MSME Support)</t>
  </si>
  <si>
    <t xml:space="preserve">SC / ST</t>
  </si>
  <si>
    <t xml:space="preserve">Existing MSME</t>
  </si>
  <si>
    <t xml:space="preserve">Procurement preference, mentoring, capacity building</t>
  </si>
  <si>
    <t xml:space="preserve">MoSJE / NSSH portal</t>
  </si>
  <si>
    <t xml:space="preserve">PM-DAKSH Yojana</t>
  </si>
  <si>
    <t xml:space="preserve">Skilling / Entrepreneurship Training</t>
  </si>
  <si>
    <t xml:space="preserve">SC / OBC / EBC / DNT / Safai Karamcharis</t>
  </si>
  <si>
    <t xml:space="preserve">18–45 (typical skilling-scheme band)</t>
  </si>
  <si>
    <t xml:space="preserve">Idea / Pre-startup (training-focused)</t>
  </si>
  <si>
    <t xml:space="preserve">Skill upgradation + entrepreneurship-readiness training</t>
  </si>
  <si>
    <t xml:space="preserve">MoSJE PM-DAKSH guidelines</t>
  </si>
  <si>
    <t xml:space="preserve">SEED Scheme</t>
  </si>
  <si>
    <t xml:space="preserve">MoSJE (DNT Board)</t>
  </si>
  <si>
    <t xml:space="preserve">Welfare + Livelihood</t>
  </si>
  <si>
    <t xml:space="preserve">De-notified Tribes (DNT)</t>
  </si>
  <si>
    <t xml:space="preserve">Idea / Early</t>
  </si>
  <si>
    <t xml:space="preserve">Coaching, health insurance, housing assistance, livelihood support</t>
  </si>
  <si>
    <t xml:space="preserve">dwbdnc.dosje.gov.in — SEED Scheme Guidelines</t>
  </si>
  <si>
    <t xml:space="preserve">Ambedkar Social Innovation &amp; Incubation Mission (ASIIM)</t>
  </si>
  <si>
    <t xml:space="preserve">Entrepreneurship (Incubation)</t>
  </si>
  <si>
    <t xml:space="preserve">SC (student entrepreneurs)</t>
  </si>
  <si>
    <t xml:space="preserve">Idea stage (incubation)</t>
  </si>
  <si>
    <t xml:space="preserve">Seed funding + incubation support via Atal Incubation Centres</t>
  </si>
  <si>
    <t xml:space="preserve">MoSJE ASIIM scheme note</t>
  </si>
  <si>
    <t xml:space="preserve">SMILE Scheme</t>
  </si>
  <si>
    <t xml:space="preserve">Transgender persons; persons engaged in begging</t>
  </si>
  <si>
    <t xml:space="preserve">Any</t>
  </si>
  <si>
    <t xml:space="preserve">Rehabilitation, skill development, livelihood support</t>
  </si>
  <si>
    <t xml:space="preserve">MoSJE SMILE Scheme</t>
  </si>
  <si>
    <t xml:space="preserve">SMSA — Scheme for Marketing Assistance</t>
  </si>
  <si>
    <t xml:space="preserve">MoSJE (NSFDC)</t>
  </si>
  <si>
    <t xml:space="preserve">Entrepreneurship (Market Access)</t>
  </si>
  <si>
    <t xml:space="preserve">SC-owned businesses</t>
  </si>
  <si>
    <t xml:space="preserve">Existing business</t>
  </si>
  <si>
    <t xml:space="preserve">Trade fair &amp; exhibition market access support</t>
  </si>
  <si>
    <t xml:space="preserve">NSFDC / MoSJE</t>
  </si>
  <si>
    <t xml:space="preserve">SIPDA</t>
  </si>
  <si>
    <t xml:space="preserve">MoSJE (DEPwD)</t>
  </si>
  <si>
    <t xml:space="preserve">Entrepreneurship (Disability-inclusive)</t>
  </si>
  <si>
    <t xml:space="preserve">Persons with Disabilities</t>
  </si>
  <si>
    <t xml:space="preserve">Support for disability-inclusive businesses &amp; accessibility</t>
  </si>
  <si>
    <t xml:space="preserve">DEPwD / MoSJE</t>
  </si>
  <si>
    <t xml:space="preserve">PM-SURAJ</t>
  </si>
  <si>
    <t xml:space="preserve">SC / ST / OBC / Safai Karamcharis (marginalized)</t>
  </si>
  <si>
    <t xml:space="preserve">Social upliftment + employment-linked livelihood loans</t>
  </si>
  <si>
    <t xml:space="preserve">MoSJE PM-SURAJ portal</t>
  </si>
  <si>
    <t xml:space="preserve">PM-AJAY</t>
  </si>
  <si>
    <t xml:space="preserve">Village-level Development (GIA)</t>
  </si>
  <si>
    <t xml:space="preserve">SC-majority villages / communities</t>
  </si>
  <si>
    <t xml:space="preserve">N/A (community-level scheme)</t>
  </si>
  <si>
    <t xml:space="preserve">N/A</t>
  </si>
  <si>
    <t xml:space="preserve">Infrastructure &amp; livelihood grant-in-aid at village level</t>
  </si>
  <si>
    <t xml:space="preserve">MoSJE PM-AJAY guidelines</t>
  </si>
  <si>
    <t xml:space="preserve">Free Coaching Scheme for SC &amp; OBC Students</t>
  </si>
  <si>
    <t xml:space="preserve">Education (Competitive Exam Coaching)</t>
  </si>
  <si>
    <t xml:space="preserve">SC / OBC students</t>
  </si>
  <si>
    <t xml:space="preserve">Not age-capped (student applicants)</t>
  </si>
  <si>
    <t xml:space="preserve">≤ ₹8,00,000 per family (confirmed)</t>
  </si>
  <si>
    <t xml:space="preserve">N/A (education, not business)</t>
  </si>
  <si>
    <t xml:space="preserve">Coaching fee up to ₹1,20,000 + stipend ₹4,000/month</t>
  </si>
  <si>
    <t xml:space="preserve">Full</t>
  </si>
  <si>
    <t xml:space="preserve">socialjustice.gov.in — Free Coaching Scheme Guidelines</t>
  </si>
  <si>
    <t xml:space="preserve">PM-YASASVI</t>
  </si>
  <si>
    <t xml:space="preserve">Education (Scholarship)</t>
  </si>
  <si>
    <t xml:space="preserve">OBC / EBC / DNT students</t>
  </si>
  <si>
    <t xml:space="preserve">Student age band (school/college)</t>
  </si>
  <si>
    <t xml:space="preserve">Not publicly specified (means-tested)</t>
  </si>
  <si>
    <t xml:space="preserve">Scholarship for young achievers</t>
  </si>
  <si>
    <t xml:space="preserve">MoSJE PM-YASASVI scheme</t>
  </si>
  <si>
    <t xml:space="preserve">Post-Matric Scholarship for SC Students</t>
  </si>
  <si>
    <t xml:space="preserve">SC students</t>
  </si>
  <si>
    <t xml:space="preserve">Post-matric student age band</t>
  </si>
  <si>
    <t xml:space="preserve">Means-tested (income cap varies by state)</t>
  </si>
  <si>
    <t xml:space="preserve">Financial assistance for post-matric education</t>
  </si>
  <si>
    <t xml:space="preserve">MoSJE Scholarship portal</t>
  </si>
  <si>
    <t xml:space="preserve">Post-Matric Scholarship — OBC, EBC &amp; DNT Students</t>
  </si>
  <si>
    <t xml:space="preserve">Means-tested</t>
  </si>
  <si>
    <t xml:space="preserve">Pre-Matric Scholarship for OBC Students</t>
  </si>
  <si>
    <t xml:space="preserve">OBC students</t>
  </si>
  <si>
    <t xml:space="preserve">Pre-matric / school-going</t>
  </si>
  <si>
    <t xml:space="preserve">Financial assistance to complete matriculation</t>
  </si>
  <si>
    <t xml:space="preserve">SHREYAS (incl. Top Class Education)</t>
  </si>
  <si>
    <t xml:space="preserve">Education (Higher Ed Fellowship)</t>
  </si>
  <si>
    <t xml:space="preserve">OBC &amp; others (as notified)</t>
  </si>
  <si>
    <t xml:space="preserve">Higher-education age band</t>
  </si>
  <si>
    <t xml:space="preserve">Fellowship for higher education (M.Phil/PhD and professional courses)</t>
  </si>
  <si>
    <t xml:space="preserve">socialjustice.gov.in — SHREYAS Scheme</t>
  </si>
  <si>
    <t xml:space="preserve">Rashtriya Vayoshri Yojana (RVY)</t>
  </si>
  <si>
    <t xml:space="preserve">Welfare (Senior Citizens)</t>
  </si>
  <si>
    <t xml:space="preserve">Senior citizens, BPL priority</t>
  </si>
  <si>
    <t xml:space="preserve">60+ (confirmed)</t>
  </si>
  <si>
    <t xml:space="preserve">BPL / near-BPL priority</t>
  </si>
  <si>
    <t xml:space="preserve">Assistive living devices &amp; aids for elderly</t>
  </si>
  <si>
    <t xml:space="preserve">MoSJE RVY Scheme guidelines</t>
  </si>
  <si>
    <t xml:space="preserve">ADIP Scheme</t>
  </si>
  <si>
    <t xml:space="preserve">Welfare (Disability)</t>
  </si>
  <si>
    <t xml:space="preserve">Not age-capped</t>
  </si>
  <si>
    <t xml:space="preserve">Means-tested (income slabs apply)</t>
  </si>
  <si>
    <t xml:space="preserve">Assistive devices, aids &amp; appliances</t>
  </si>
  <si>
    <t xml:space="preserve">DEPwD / MoSJE ADIP Scheme</t>
  </si>
  <si>
    <t xml:space="preserve">NAPDDR</t>
  </si>
  <si>
    <t xml:space="preserve">Welfare (Drug Demand Reduction)</t>
  </si>
  <si>
    <t xml:space="preserve">General public; persons affected by substance abuse</t>
  </si>
  <si>
    <t xml:space="preserve">Awareness, counselling &amp; rehabilitation support</t>
  </si>
  <si>
    <t xml:space="preserve">MoSJE NAPDDR</t>
  </si>
  <si>
    <t xml:space="preserve">Central Sector Scheme of Free Coaching (Generic)</t>
  </si>
  <si>
    <t xml:space="preserve">SC / ST / OBC / Minorities / EWS (as notified)</t>
  </si>
  <si>
    <t xml:space="preserve">≤ ₹8,00,000 (typical band)</t>
  </si>
  <si>
    <t xml:space="preserve">Coaching for competitive/entrance examinations</t>
  </si>
  <si>
    <t xml:space="preserve">socialjustice.gov.in</t>
  </si>
  <si>
    <t xml:space="preserve">Note: 21 real, source-verifiable schemes listed. Numeric age/income criteria left as 'Not publicly specified' where no official document states an exact figure. Only schemes marked 'Full' are used with their exact real numbers in the live Match Calculator; others use clearly labeled placeholders.</t>
  </si>
  <si>
    <t xml:space="preserve">Point Allocation System</t>
  </si>
  <si>
    <t xml:space="preserve">The core weighting logic behind the scheme-matching algorithm</t>
  </si>
  <si>
    <t xml:space="preserve">Factor</t>
  </si>
  <si>
    <t xml:space="preserve">Points</t>
  </si>
  <si>
    <t xml:space="preserve">% of Total (10 pts)</t>
  </si>
  <si>
    <t xml:space="preserve">Check Type</t>
  </si>
  <si>
    <t xml:space="preserve">Rule</t>
  </si>
  <si>
    <t xml:space="preserve">Category (SC/ST/OBC/DNT/Women/etc.)</t>
  </si>
  <si>
    <t xml:space="preserve">40%</t>
  </si>
  <si>
    <t xml:space="preserve">Set membership (HARD GATE)</t>
  </si>
  <si>
    <t xml:space="preserve">If applicant's category is NOT in scheme's eligible list -&gt; score = 0 immediately, stop checking</t>
  </si>
  <si>
    <t xml:space="preserve">Age</t>
  </si>
  <si>
    <t xml:space="preserve">20%</t>
  </si>
  <si>
    <t xml:space="preserve">Numeric range (soft)</t>
  </si>
  <si>
    <t xml:space="preserve">Full points if min &lt;= age &lt;= max, else 0 (does not zero the total)</t>
  </si>
  <si>
    <t xml:space="preserve">Income</t>
  </si>
  <si>
    <t xml:space="preserve">Numeric max-only (soft)</t>
  </si>
  <si>
    <t xml:space="preserve">Full points if income &lt;= scheme's income limit, else 0</t>
  </si>
  <si>
    <t xml:space="preserve">Set membership (soft)</t>
  </si>
  <si>
    <t xml:space="preserve">Full points if stage is in scheme's accepted list, else 0</t>
  </si>
  <si>
    <t xml:space="preserve">CORE FORMULAS</t>
  </si>
  <si>
    <t xml:space="preserve">Match % = (Points Earned / 10) × 100</t>
  </si>
  <si>
    <t xml:space="preserve">Eligible = TRUE  if Match % ≥ 60,  else FALSE</t>
  </si>
  <si>
    <t xml:space="preserve">WHY CATEGORY IS A HARD GATE</t>
  </si>
  <si>
    <t xml:space="preserve">Category is a HARD GATE: fail it and the score is forced to 0%, no partial credit — because category</t>
  </si>
  <si>
    <t xml:space="preserve">eligibility in real government schemes is almost never negotiable. Age, income, and business stage are</t>
  </si>
  <si>
    <t xml:space="preserve">additive/soft — failing one lowers the percentage but doesn't zero the whole score, modeling the real-world</t>
  </si>
  <si>
    <t xml:space="preserve">flexibility some schemes allow on these factors.</t>
  </si>
  <si>
    <t xml:space="preserve">WORKED EXAMPLE</t>
  </si>
  <si>
    <t xml:space="preserve">Check</t>
  </si>
  <si>
    <t xml:space="preserve">Applicant</t>
  </si>
  <si>
    <t xml:space="preserve">Scheme Requirement</t>
  </si>
  <si>
    <t xml:space="preserve">Result</t>
  </si>
  <si>
    <t xml:space="preserve">Category</t>
  </si>
  <si>
    <t xml:space="preserve">✅ Match</t>
  </si>
  <si>
    <t xml:space="preserve">28</t>
  </si>
  <si>
    <t xml:space="preserve">18 – 45</t>
  </si>
  <si>
    <t xml:space="preserve">₹2,50,000</t>
  </si>
  <si>
    <t xml:space="preserve">≤ ₹3,00,000</t>
  </si>
  <si>
    <t xml:space="preserve">Business Stage</t>
  </si>
  <si>
    <t xml:space="preserve">Early stage</t>
  </si>
  <si>
    <t xml:space="preserve">Idea, Early stage</t>
  </si>
  <si>
    <t xml:space="preserve">TOTAL</t>
  </si>
  <si>
    <t xml:space="preserve">MATCH %</t>
  </si>
  <si>
    <t xml:space="preserve">Live Scheme Match Calculator</t>
  </si>
  <si>
    <t xml:space="preserve">Edit the yellow applicant fields below — every score recalculates instantly via formula</t>
  </si>
  <si>
    <t xml:space="preserve">APPLICANT PROFILE (EDITABLE)</t>
  </si>
  <si>
    <t xml:space="preserve">Applicant Category</t>
  </si>
  <si>
    <t xml:space="preserve">Applicant Age</t>
  </si>
  <si>
    <t xml:space="preserve">Applicant Income (Annual, ₹)</t>
  </si>
  <si>
    <t xml:space="preserve">Applicant Stage</t>
  </si>
  <si>
    <t xml:space="preserve">Elig. Categories</t>
  </si>
  <si>
    <t xml:space="preserve">Min Age</t>
  </si>
  <si>
    <t xml:space="preserve">Max Age</t>
  </si>
  <si>
    <t xml:space="preserve">Income Limit</t>
  </si>
  <si>
    <t xml:space="preserve">Accepted Stages</t>
  </si>
  <si>
    <t xml:space="preserve">Figures Basis</t>
  </si>
  <si>
    <t xml:space="preserve">Cat Pts</t>
  </si>
  <si>
    <t xml:space="preserve">Age Pts</t>
  </si>
  <si>
    <t xml:space="preserve">Inc Pts</t>
  </si>
  <si>
    <t xml:space="preserve">Stage Pts</t>
  </si>
  <si>
    <t xml:space="preserve">Total Pts</t>
  </si>
  <si>
    <t xml:space="preserve">Match %</t>
  </si>
  <si>
    <t xml:space="preserve">Eligible (≥60%)</t>
  </si>
  <si>
    <t xml:space="preserve">SC,ST,Women</t>
  </si>
  <si>
    <t xml:space="preserve">Idea,Early stage</t>
  </si>
  <si>
    <t xml:space="preserve">Confirmed (official source)</t>
  </si>
  <si>
    <t xml:space="preserve">Venture Capital Fund for SC (VCF-SC)</t>
  </si>
  <si>
    <t xml:space="preserve">Idea,Early stage,Existing</t>
  </si>
  <si>
    <t xml:space="preserve">ASSUMED for demo — verify before production</t>
  </si>
  <si>
    <t xml:space="preserve">SC,ST</t>
  </si>
  <si>
    <t xml:space="preserve">Existing</t>
  </si>
  <si>
    <t xml:space="preserve">SC,OBC,EBC,DNT</t>
  </si>
  <si>
    <t xml:space="preserve">Idea</t>
  </si>
  <si>
    <t xml:space="preserve">DNT</t>
  </si>
  <si>
    <t xml:space="preserve">Ambedkar Social Innovation &amp; Incubation Mission</t>
  </si>
  <si>
    <t xml:space="preserve">Transgender,Marginalized</t>
  </si>
  <si>
    <t xml:space="preserve">SMSA - Marketing Assistance</t>
  </si>
  <si>
    <t xml:space="preserve">PwD</t>
  </si>
  <si>
    <t xml:space="preserve">SC,ST,OBC</t>
  </si>
  <si>
    <t xml:space="preserve">Free Coaching Scheme (SC/OBC)</t>
  </si>
  <si>
    <t xml:space="preserve">SC,OBC</t>
  </si>
  <si>
    <t xml:space="preserve">'Confirmed' = exact figure found in an official scheme document (see Schemes Database sheet for sources).</t>
  </si>
  <si>
    <t xml:space="preserve">'ASSUMED for demo' = no official numeric age/income figure is publicly published for this scheme; a realistic</t>
  </si>
  <si>
    <t xml:space="preserve">placeholder is used so the calculator runs end-to-end. Replace with the real figure once your team confirms</t>
  </si>
  <si>
    <t xml:space="preserve">it from the scheme's official guideline document, before quoting it to judges as fact.</t>
  </si>
  <si>
    <t xml:space="preserve">All Formulas Reference — Complete Algorithm Documentation</t>
  </si>
  <si>
    <t xml:space="preserve">Every calculation used across the platform: matching, fraud prevention, readiness, rights-awareness, analytics</t>
  </si>
  <si>
    <t xml:space="preserve">1. SCHEME MATCHING SCORE  (implemented live on 'Match Calculator' sheet)</t>
  </si>
  <si>
    <t xml:space="preserve">Mathematical form:</t>
  </si>
  <si>
    <t xml:space="preserve">Score = 4·C + 2·A + 2·I + 2·B   (C, A, I, B are 1/0 match indicators)</t>
  </si>
  <si>
    <t xml:space="preserve">Match % = (Score / 10) × 100</t>
  </si>
  <si>
    <t xml:space="preserve">Eligible = TRUE if Match % ≥ 60, else FALSE</t>
  </si>
  <si>
    <t xml:space="preserve">Excel formula (per factor):</t>
  </si>
  <si>
    <t xml:space="preserve">Excel Formula (as used in Match Calculator)</t>
  </si>
  <si>
    <t xml:space="preserve">Points Type</t>
  </si>
  <si>
    <t xml:space="preserve">IF(ISNUMBER(SEARCH(applicant_category, scheme_categories)),4,0)</t>
  </si>
  <si>
    <t xml:space="preserve">Hard gate (0 or 4)</t>
  </si>
  <si>
    <t xml:space="preserve">IF(AND(applicant_age&gt;=min_age, applicant_age&lt;=max_age),2,0)</t>
  </si>
  <si>
    <t xml:space="preserve">Soft (0 or 2)</t>
  </si>
  <si>
    <t xml:space="preserve">IF(applicant_income&lt;=income_limit,2,0)</t>
  </si>
  <si>
    <t xml:space="preserve">IF(ISNUMBER(SEARCH(applicant_stage, scheme_stages)),2,0)</t>
  </si>
  <si>
    <t xml:space="preserve">Total Points</t>
  </si>
  <si>
    <t xml:space="preserve">IF(cat_pts=0, 0, cat_pts+age_pts+inc_pts+stage_pts)</t>
  </si>
  <si>
    <t xml:space="preserve">Hard-gate enforcement</t>
  </si>
  <si>
    <t xml:space="preserve">(total_points/10)*100</t>
  </si>
  <si>
    <t xml:space="preserve">0–100</t>
  </si>
  <si>
    <t xml:space="preserve">Eligible</t>
  </si>
  <si>
    <t xml:space="preserve">IF(match_pct&gt;=60,"YES","NO")</t>
  </si>
  <si>
    <t xml:space="preserve">YES / NO</t>
  </si>
  <si>
    <t xml:space="preserve">→ Live working version: see 'Match Calculator' sheet, columns I–O.</t>
  </si>
  <si>
    <t xml:space="preserve">2. DUPLICATE-CLAIM DETECTION  (fraud-prevention layer)</t>
  </si>
  <si>
    <t xml:space="preserve">Purpose: block the exact fraud pattern CAG flagged — ₹1.9 crore overpaid to 1,901 duplicate beneficiaries.</t>
  </si>
  <si>
    <t xml:space="preserve">Backend (production): Fingerprint = SHA256( AadhaarID  ‖  SchemeID )</t>
  </si>
  <si>
    <t xml:space="preserve">IsDuplicate = TRUE if Fingerprint already exists among active/approved claims</t>
  </si>
  <si>
    <t xml:space="preserve">Spreadsheet proxy (worked example below — Excel has no native SHA-256):</t>
  </si>
  <si>
    <t xml:space="preserve">Applicant ID</t>
  </si>
  <si>
    <t xml:space="preserve">Scheme ID</t>
  </si>
  <si>
    <t xml:space="preserve">Fingerprint (proxy)</t>
  </si>
  <si>
    <t xml:space="preserve">Duplicate Count</t>
  </si>
  <si>
    <t xml:space="preserve">Flag</t>
  </si>
  <si>
    <t xml:space="preserve">APP-1001</t>
  </si>
  <si>
    <t xml:space="preserve">SUI-01</t>
  </si>
  <si>
    <t xml:space="preserve">APP-1002</t>
  </si>
  <si>
    <t xml:space="preserve">APP-1003</t>
  </si>
  <si>
    <t xml:space="preserve">PDK-04</t>
  </si>
  <si>
    <t xml:space="preserve">→ Row 1 and Row 3 share the same Applicant+Scheme fingerprint → both flagged DUPLICATE.</t>
  </si>
  <si>
    <t xml:space="preserve">3. DOCUMENT READINESS SCORE</t>
  </si>
  <si>
    <t xml:space="preserve">R = ( |Documents Checked| / |Documents Required| ) × 100</t>
  </si>
  <si>
    <t xml:space="preserve">Required Document</t>
  </si>
  <si>
    <t xml:space="preserve">Applicant Has It? (1/0)</t>
  </si>
  <si>
    <t xml:space="preserve">Running Count</t>
  </si>
  <si>
    <t xml:space="preserve">Aadhaar Card</t>
  </si>
  <si>
    <t xml:space="preserve">Caste Certificate</t>
  </si>
  <si>
    <t xml:space="preserve">Income Proof</t>
  </si>
  <si>
    <t xml:space="preserve">Business Plan</t>
  </si>
  <si>
    <t xml:space="preserve">Bank Passbook</t>
  </si>
  <si>
    <t xml:space="preserve">Readiness %</t>
  </si>
  <si>
    <t xml:space="preserve">4. REJECTION VALIDITY FLAG  (rights-awareness / anti-bank-bias layer)</t>
  </si>
  <si>
    <t xml:space="preserve">Flagged = TRUE if stated RejectionReason is NOT in the scheme's official Valid-Reason list</t>
  </si>
  <si>
    <t xml:space="preserve">Valid reasons for this scheme (Stand-Up India, collateral-free by law):</t>
  </si>
  <si>
    <t xml:space="preserve">Incomplete documents | Exceeds income limit | Invalid business plan</t>
  </si>
  <si>
    <t xml:space="preserve">Application</t>
  </si>
  <si>
    <t xml:space="preserve">Stated Rejection Reason</t>
  </si>
  <si>
    <t xml:space="preserve">Valid?</t>
  </si>
  <si>
    <t xml:space="preserve">Action</t>
  </si>
  <si>
    <t xml:space="preserve">APP-2001</t>
  </si>
  <si>
    <t xml:space="preserve">Incomplete documents</t>
  </si>
  <si>
    <t xml:space="preserve">APP-2002</t>
  </si>
  <si>
    <t xml:space="preserve">Collateral not provided</t>
  </si>
  <si>
    <t xml:space="preserve">APP-2003</t>
  </si>
  <si>
    <t xml:space="preserve">Exceeds income limit</t>
  </si>
  <si>
    <t xml:space="preserve">→ APP-2002 cites 'collateral' for a legally collateral-free scheme → flagged Invalid → escalation path shown.</t>
  </si>
  <si>
    <t xml:space="preserve">5. RANKING FUNCTION  (best-fit schemes shown first)</t>
  </si>
  <si>
    <t xml:space="preserve">Rank = position of this scheme's Match % among all schemes, descending</t>
  </si>
  <si>
    <t xml:space="preserve">Excel: =RANK(match_pct_cell, full_match_pct_range, 0)</t>
  </si>
  <si>
    <t xml:space="preserve">Live example, pulling directly from 'Match Calculator' sheet:</t>
  </si>
  <si>
    <t xml:space="preserve">Scheme (from Match Calculator)</t>
  </si>
  <si>
    <t xml:space="preserve">Rank</t>
  </si>
  <si>
    <t xml:space="preserve">6. MINISTRY-FACING ANALYTICS AGGREGATION  (the 'monitoring infrastructure' CAG found missing)</t>
  </si>
  <si>
    <t xml:space="preserve">Drop-off rate per scheme:</t>
  </si>
  <si>
    <t xml:space="preserve">DropOff(s) = 1 − ( Applications_Approved(s) / Applications_Started(s) )</t>
  </si>
  <si>
    <t xml:space="preserve">Excel: =1-(COUNTIFS(scheme_col,s,status_col,"Approved")/COUNTIF(scheme_col,s))</t>
  </si>
  <si>
    <t xml:space="preserve">Rejection-reason distribution:</t>
  </si>
  <si>
    <t xml:space="preserve">P(reason_i) = Count(reason_i) / Σ Count(reason_j)</t>
  </si>
  <si>
    <t xml:space="preserve">Excel: =COUNTIF(reason_col,reason_i)/COUNTA(reason_col)</t>
  </si>
  <si>
    <t xml:space="preserve">Live example — sample application log:</t>
  </si>
  <si>
    <t xml:space="preserve">Scheme</t>
  </si>
  <si>
    <t xml:space="preserve">Status</t>
  </si>
  <si>
    <t xml:space="preserve">Approved</t>
  </si>
  <si>
    <t xml:space="preserve">Rejected</t>
  </si>
  <si>
    <t xml:space="preserve">PM-DAKSH</t>
  </si>
  <si>
    <t xml:space="preserve">Drop-off Rate</t>
  </si>
  <si>
    <t xml:space="preserve">→ This is exactly the real-time monitoring view your Ministry Dashboard renders as a bar chart.</t>
  </si>
</sst>
</file>

<file path=xl/styles.xml><?xml version="1.0" encoding="utf-8"?>
<styleSheet xmlns="http://schemas.openxmlformats.org/spreadsheetml/2006/main">
  <numFmts count="3">
    <numFmt numFmtId="164" formatCode="General"/>
    <numFmt numFmtId="165" formatCode="0\%"/>
    <numFmt numFmtId="166" formatCode="0.0%"/>
  </numFmts>
  <fonts count="15">
    <font>
      <sz val="11"/>
      <color theme="1"/>
      <name val="Calibri"/>
      <family val="2"/>
      <charset val="1"/>
    </font>
    <font>
      <sz val="10"/>
      <name val="Arial"/>
      <family val="0"/>
    </font>
    <font>
      <sz val="10"/>
      <name val="Arial"/>
      <family val="0"/>
    </font>
    <font>
      <sz val="10"/>
      <name val="Arial"/>
      <family val="0"/>
    </font>
    <font>
      <b val="true"/>
      <sz val="18"/>
      <color rgb="FFFFFFFF"/>
      <name val="Arial"/>
      <family val="0"/>
      <charset val="1"/>
    </font>
    <font>
      <i val="true"/>
      <sz val="10"/>
      <color rgb="FF595959"/>
      <name val="Arial"/>
      <family val="0"/>
      <charset val="1"/>
    </font>
    <font>
      <b val="true"/>
      <sz val="12"/>
      <color rgb="FFFFFFFF"/>
      <name val="Arial"/>
      <family val="0"/>
      <charset val="1"/>
    </font>
    <font>
      <sz val="10"/>
      <name val="Arial"/>
      <family val="0"/>
      <charset val="1"/>
    </font>
    <font>
      <b val="true"/>
      <sz val="10"/>
      <name val="Arial"/>
      <family val="0"/>
      <charset val="1"/>
    </font>
    <font>
      <b val="true"/>
      <sz val="11"/>
      <color rgb="FFFFFFFF"/>
      <name val="Arial"/>
      <family val="0"/>
      <charset val="1"/>
    </font>
    <font>
      <i val="true"/>
      <sz val="9"/>
      <color rgb="FF833C00"/>
      <name val="Arial"/>
      <family val="0"/>
      <charset val="1"/>
    </font>
    <font>
      <b val="true"/>
      <sz val="10.5"/>
      <color rgb="FF1F3864"/>
      <name val="Consolas"/>
      <family val="0"/>
      <charset val="1"/>
    </font>
    <font>
      <i val="true"/>
      <sz val="9"/>
      <name val="Arial"/>
      <family val="0"/>
      <charset val="1"/>
    </font>
    <font>
      <sz val="9.5"/>
      <color rgb="FF1F3864"/>
      <name val="Consolas"/>
      <family val="0"/>
      <charset val="1"/>
    </font>
    <font>
      <i val="true"/>
      <sz val="9"/>
      <color rgb="FF595959"/>
      <name val="Arial"/>
      <family val="0"/>
      <charset val="1"/>
    </font>
  </fonts>
  <fills count="9">
    <fill>
      <patternFill patternType="none"/>
    </fill>
    <fill>
      <patternFill patternType="gray125"/>
    </fill>
    <fill>
      <patternFill patternType="solid">
        <fgColor rgb="FF1F3864"/>
        <bgColor rgb="FF2E5395"/>
      </patternFill>
    </fill>
    <fill>
      <patternFill patternType="solid">
        <fgColor rgb="FFED7D31"/>
        <bgColor rgb="FFFF8080"/>
      </patternFill>
    </fill>
    <fill>
      <patternFill patternType="solid">
        <fgColor rgb="FFE2EFDA"/>
        <bgColor rgb="FFDDEBF7"/>
      </patternFill>
    </fill>
    <fill>
      <patternFill patternType="solid">
        <fgColor rgb="FFDDEBF7"/>
        <bgColor rgb="FFE2EFDA"/>
      </patternFill>
    </fill>
    <fill>
      <patternFill patternType="solid">
        <fgColor rgb="FFFFF2CC"/>
        <bgColor rgb="FFFCE4D6"/>
      </patternFill>
    </fill>
    <fill>
      <patternFill patternType="solid">
        <fgColor rgb="FFFCE4D6"/>
        <bgColor rgb="FFFFF2CC"/>
      </patternFill>
    </fill>
    <fill>
      <patternFill patternType="solid">
        <fgColor rgb="FFF2F2F2"/>
        <bgColor rgb="FFE2EFDA"/>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3">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left" vertical="center" textRotation="0" wrapText="false" indent="1" shrinkToFit="false"/>
      <protection locked="true" hidden="false"/>
    </xf>
    <xf numFmtId="164" fontId="5" fillId="0" borderId="0" xfId="0" applyFont="true" applyBorder="true" applyAlignment="true" applyProtection="false">
      <alignment horizontal="left" vertical="center" textRotation="0" wrapText="false" indent="1" shrinkToFit="false"/>
      <protection locked="true" hidden="false"/>
    </xf>
    <xf numFmtId="164" fontId="6" fillId="3" borderId="0" xfId="0" applyFont="true" applyBorder="true" applyAlignment="true" applyProtection="false">
      <alignment horizontal="left" vertical="center" textRotation="0" wrapText="false" indent="1" shrinkToFit="false"/>
      <protection locked="true" hidden="false"/>
    </xf>
    <xf numFmtId="164" fontId="7" fillId="0" borderId="0" xfId="0" applyFont="true" applyBorder="true" applyAlignment="true" applyProtection="false">
      <alignment horizontal="general" vertical="bottom" textRotation="0" wrapText="false" indent="0" shrinkToFit="false"/>
      <protection locked="true" hidden="false"/>
    </xf>
    <xf numFmtId="164" fontId="0" fillId="4" borderId="1" xfId="0" applyFont="false" applyBorder="true" applyAlignment="true" applyProtection="false">
      <alignment horizontal="general" vertical="bottom" textRotation="0" wrapText="false" indent="0" shrinkToFit="false"/>
      <protection locked="true" hidden="false"/>
    </xf>
    <xf numFmtId="164" fontId="0" fillId="5" borderId="1" xfId="0" applyFont="false" applyBorder="true" applyAlignment="true" applyProtection="false">
      <alignment horizontal="general" vertical="bottom" textRotation="0" wrapText="false" indent="0" shrinkToFit="false"/>
      <protection locked="true" hidden="false"/>
    </xf>
    <xf numFmtId="164" fontId="0" fillId="6" borderId="1" xfId="0" applyFont="false" applyBorder="true" applyAlignment="true" applyProtection="false">
      <alignment horizontal="general" vertical="bottom" textRotation="0" wrapText="false" indent="0" shrinkToFit="false"/>
      <protection locked="true" hidden="false"/>
    </xf>
    <xf numFmtId="164" fontId="0" fillId="7" borderId="1" xfId="0" applyFont="false" applyBorder="true" applyAlignment="tru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4" fontId="9" fillId="2"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center" vertical="top"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8" fillId="7" borderId="1" xfId="0" applyFont="true" applyBorder="true" applyAlignment="true" applyProtection="false">
      <alignment horizontal="general" vertical="top" textRotation="0" wrapText="true" indent="0" shrinkToFit="false"/>
      <protection locked="true" hidden="false"/>
    </xf>
    <xf numFmtId="164" fontId="8" fillId="8" borderId="1" xfId="0" applyFont="true" applyBorder="true" applyAlignment="true" applyProtection="false">
      <alignment horizontal="center" vertical="top" textRotation="0" wrapText="false" indent="0" shrinkToFit="false"/>
      <protection locked="true" hidden="false"/>
    </xf>
    <xf numFmtId="164" fontId="7" fillId="8" borderId="1" xfId="0" applyFont="true" applyBorder="true" applyAlignment="true" applyProtection="false">
      <alignment horizontal="general" vertical="top" textRotation="0" wrapText="true" indent="0" shrinkToFit="false"/>
      <protection locked="true" hidden="false"/>
    </xf>
    <xf numFmtId="164" fontId="8" fillId="4" borderId="1" xfId="0" applyFont="true" applyBorder="true" applyAlignment="true" applyProtection="false">
      <alignment horizontal="general" vertical="top" textRotation="0" wrapText="true" indent="0" shrinkToFit="false"/>
      <protection locked="true" hidden="false"/>
    </xf>
    <xf numFmtId="164" fontId="10" fillId="0" borderId="0" xfId="0" applyFont="true" applyBorder="true" applyAlignment="true" applyProtection="false">
      <alignment horizontal="general" vertical="bottom" textRotation="0" wrapText="true" indent="0" shrinkToFit="false"/>
      <protection locked="true" hidden="false"/>
    </xf>
    <xf numFmtId="164" fontId="8" fillId="0" borderId="1" xfId="0" applyFont="true" applyBorder="true" applyAlignment="true" applyProtection="false">
      <alignment horizontal="general" vertical="center" textRotation="0" wrapText="true" indent="0" shrinkToFit="false"/>
      <protection locked="true" hidden="false"/>
    </xf>
    <xf numFmtId="164" fontId="7" fillId="0" borderId="1" xfId="0" applyFont="true" applyBorder="true" applyAlignment="true" applyProtection="false">
      <alignment horizontal="general" vertical="center" textRotation="0" wrapText="true" indent="0" shrinkToFit="false"/>
      <protection locked="true" hidden="false"/>
    </xf>
    <xf numFmtId="164" fontId="8" fillId="8" borderId="1" xfId="0" applyFont="true" applyBorder="true" applyAlignment="true" applyProtection="false">
      <alignment horizontal="general" vertical="center" textRotation="0" wrapText="true" indent="0" shrinkToFit="false"/>
      <protection locked="true" hidden="false"/>
    </xf>
    <xf numFmtId="164" fontId="7" fillId="8" borderId="1" xfId="0" applyFont="true" applyBorder="true" applyAlignment="true" applyProtection="false">
      <alignment horizontal="general" vertical="center" textRotation="0" wrapText="true" indent="0" shrinkToFit="false"/>
      <protection locked="true" hidden="false"/>
    </xf>
    <xf numFmtId="164" fontId="11" fillId="0" borderId="0" xfId="0" applyFont="true" applyBorder="true" applyAlignment="tru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center" vertical="center" textRotation="0" wrapText="false" indent="0" shrinkToFit="false"/>
      <protection locked="true" hidden="false"/>
    </xf>
    <xf numFmtId="164" fontId="7" fillId="0" borderId="1" xfId="0" applyFont="true" applyBorder="true" applyAlignment="true" applyProtection="false">
      <alignment horizontal="left" vertical="center" textRotation="0" wrapText="false" indent="0" shrinkToFit="false"/>
      <protection locked="true" hidden="false"/>
    </xf>
    <xf numFmtId="164" fontId="7" fillId="8" borderId="1" xfId="0" applyFont="true" applyBorder="true" applyAlignment="true" applyProtection="false">
      <alignment horizontal="center" vertical="center" textRotation="0" wrapText="false" indent="0" shrinkToFit="false"/>
      <protection locked="true" hidden="false"/>
    </xf>
    <xf numFmtId="164" fontId="7" fillId="8" borderId="1" xfId="0" applyFont="true" applyBorder="true" applyAlignment="true" applyProtection="false">
      <alignment horizontal="left" vertical="center" textRotation="0" wrapText="false" indent="0" shrinkToFit="false"/>
      <protection locked="true" hidden="false"/>
    </xf>
    <xf numFmtId="164" fontId="8" fillId="4" borderId="1" xfId="0" applyFont="true" applyBorder="true" applyAlignment="true" applyProtection="false">
      <alignment horizontal="general" vertical="bottom" textRotation="0" wrapText="false" indent="0" shrinkToFit="false"/>
      <protection locked="true" hidden="false"/>
    </xf>
    <xf numFmtId="164" fontId="8" fillId="0" borderId="0" xfId="0" applyFont="true" applyBorder="true" applyAlignment="true" applyProtection="false">
      <alignment horizontal="general" vertical="bottom" textRotation="0" wrapText="false" indent="0" shrinkToFit="false"/>
      <protection locked="true" hidden="false"/>
    </xf>
    <xf numFmtId="164" fontId="7" fillId="6" borderId="1" xfId="0" applyFont="true" applyBorder="true" applyAlignment="true" applyProtection="false">
      <alignment horizontal="center" vertical="bottom" textRotation="0" wrapText="false" indent="0" shrinkToFit="false"/>
      <protection locked="true" hidden="false"/>
    </xf>
    <xf numFmtId="164" fontId="7" fillId="0" borderId="1" xfId="0" applyFont="true" applyBorder="true" applyAlignment="true" applyProtection="false">
      <alignment horizontal="center" vertical="bottom" textRotation="0" wrapText="true" indent="0" shrinkToFit="false"/>
      <protection locked="true" hidden="false"/>
    </xf>
    <xf numFmtId="164" fontId="7" fillId="0" borderId="1" xfId="0" applyFont="true" applyBorder="true" applyAlignment="true" applyProtection="false">
      <alignment horizontal="left" vertical="bottom" textRotation="0" wrapText="true" indent="0" shrinkToFit="false"/>
      <protection locked="true" hidden="false"/>
    </xf>
    <xf numFmtId="164" fontId="12" fillId="4" borderId="1" xfId="0" applyFont="true" applyBorder="true" applyAlignment="true" applyProtection="false">
      <alignment horizontal="center" vertical="bottom" textRotation="0" wrapText="true" indent="0" shrinkToFit="false"/>
      <protection locked="true" hidden="false"/>
    </xf>
    <xf numFmtId="164" fontId="7" fillId="8" borderId="1" xfId="0" applyFont="true" applyBorder="true" applyAlignment="true" applyProtection="false">
      <alignment horizontal="center" vertical="bottom" textRotation="0" wrapText="true" indent="0" shrinkToFit="false"/>
      <protection locked="true" hidden="false"/>
    </xf>
    <xf numFmtId="164" fontId="7" fillId="8" borderId="1" xfId="0" applyFont="true" applyBorder="true" applyAlignment="true" applyProtection="false">
      <alignment horizontal="left" vertical="bottom" textRotation="0" wrapText="true" indent="0" shrinkToFit="false"/>
      <protection locked="true" hidden="false"/>
    </xf>
    <xf numFmtId="164" fontId="12" fillId="5" borderId="1" xfId="0" applyFont="true" applyBorder="true" applyAlignment="true" applyProtection="false">
      <alignment horizontal="center" vertical="bottom" textRotation="0" wrapText="true" indent="0" shrinkToFit="false"/>
      <protection locked="true" hidden="false"/>
    </xf>
    <xf numFmtId="164" fontId="12" fillId="0" borderId="0" xfId="0" applyFont="true" applyBorder="true" applyAlignment="true" applyProtection="false">
      <alignment horizontal="general" vertical="bottom" textRotation="0" wrapText="false" indent="0" shrinkToFit="false"/>
      <protection locked="true" hidden="false"/>
    </xf>
    <xf numFmtId="164" fontId="13" fillId="0" borderId="0" xfId="0" applyFont="true" applyBorder="false" applyAlignment="true" applyProtection="false">
      <alignment horizontal="general" vertical="bottom" textRotation="0" wrapText="false" indent="0" shrinkToFit="false"/>
      <protection locked="true" hidden="false"/>
    </xf>
    <xf numFmtId="164" fontId="13" fillId="0" borderId="1" xfId="0" applyFont="true" applyBorder="true" applyAlignment="true" applyProtection="false">
      <alignment horizontal="general" vertical="center" textRotation="0" wrapText="true" indent="0" shrinkToFit="false"/>
      <protection locked="true" hidden="false"/>
    </xf>
    <xf numFmtId="164" fontId="13" fillId="8" borderId="1" xfId="0" applyFont="true" applyBorder="true" applyAlignment="true" applyProtection="false">
      <alignment horizontal="general" vertical="center" textRotation="0" wrapText="true" indent="0" shrinkToFit="false"/>
      <protection locked="true" hidden="false"/>
    </xf>
    <xf numFmtId="164" fontId="14" fillId="0" borderId="0" xfId="0" applyFont="true" applyBorder="false" applyAlignment="tru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center" vertical="bottom" textRotation="0" wrapText="false" indent="0" shrinkToFit="false"/>
      <protection locked="true" hidden="false"/>
    </xf>
    <xf numFmtId="164" fontId="7" fillId="8" borderId="1" xfId="0" applyFont="true" applyBorder="true" applyAlignment="true" applyProtection="false">
      <alignment horizontal="center" vertical="bottom" textRotation="0" wrapText="false" indent="0" shrinkToFit="false"/>
      <protection locked="true" hidden="false"/>
    </xf>
    <xf numFmtId="164" fontId="14" fillId="0" borderId="0" xfId="0" applyFont="true" applyBorder="true" applyAlignment="tru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left" vertical="bottom" textRotation="0" wrapText="false" indent="0" shrinkToFit="false"/>
      <protection locked="true" hidden="false"/>
    </xf>
    <xf numFmtId="164" fontId="7" fillId="8" borderId="1" xfId="0" applyFont="true" applyBorder="true" applyAlignment="true" applyProtection="false">
      <alignment horizontal="left" vertical="bottom" textRotation="0" wrapText="false" indent="0" shrinkToFit="false"/>
      <protection locked="true" hidden="false"/>
    </xf>
    <xf numFmtId="165" fontId="8" fillId="4" borderId="1" xfId="0" applyFont="true" applyBorder="true" applyAlignment="tru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general" vertical="bottom" textRotation="0" wrapText="false" indent="0" shrinkToFit="false"/>
      <protection locked="true" hidden="false"/>
    </xf>
    <xf numFmtId="164" fontId="7" fillId="8" borderId="1" xfId="0" applyFont="true" applyBorder="true" applyAlignment="true" applyProtection="false">
      <alignment horizontal="general" vertical="bottom" textRotation="0" wrapText="false" indent="0" shrinkToFit="false"/>
      <protection locked="true" hidden="false"/>
    </xf>
    <xf numFmtId="164" fontId="9" fillId="2" borderId="1" xfId="0" applyFont="true" applyBorder="true" applyAlignment="true" applyProtection="false">
      <alignment horizontal="general" vertical="bottom" textRotation="0" wrapText="false" indent="0" shrinkToFit="false"/>
      <protection locked="true" hidden="false"/>
    </xf>
    <xf numFmtId="166" fontId="7" fillId="0" borderId="1" xfId="0" applyFont="true" applyBorder="true" applyAlignment="true" applyProtection="false">
      <alignment horizontal="center" vertical="bottom" textRotation="0" wrapText="false" indent="0" shrinkToFit="false"/>
      <protection locked="true" hidden="false"/>
    </xf>
    <xf numFmtId="166" fontId="7" fillId="8" borderId="1" xfId="0" applyFont="true" applyBorder="true" applyAlignment="true" applyProtection="false">
      <alignment horizontal="center"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ont>
        <name val="Arial"/>
        <charset val="1"/>
        <family val="0"/>
        <b val="1"/>
        <color rgb="FF375623"/>
      </font>
      <fill>
        <patternFill>
          <bgColor rgb="FFE2EFDA"/>
        </patternFill>
      </fill>
    </dxf>
    <dxf>
      <font>
        <name val="Arial"/>
        <charset val="1"/>
        <family val="0"/>
        <b val="1"/>
        <color rgb="FF9C0006"/>
      </font>
      <fill>
        <patternFill>
          <bgColor rgb="FFFCE4D6"/>
        </patternFill>
      </fill>
    </dxf>
  </dxfs>
  <colors>
    <indexedColors>
      <rgbColor rgb="FF000000"/>
      <rgbColor rgb="FFFFFFFF"/>
      <rgbColor rgb="FFFF0000"/>
      <rgbColor rgb="FF00FF00"/>
      <rgbColor rgb="FF0000FF"/>
      <rgbColor rgb="FFFFFF00"/>
      <rgbColor rgb="FFFF00FF"/>
      <rgbColor rgb="FF00FFFF"/>
      <rgbColor rgb="FF9C0006"/>
      <rgbColor rgb="FF008000"/>
      <rgbColor rgb="FF000080"/>
      <rgbColor rgb="FF548235"/>
      <rgbColor rgb="FF800080"/>
      <rgbColor rgb="FF008080"/>
      <rgbColor rgb="FFBFBFBF"/>
      <rgbColor rgb="FF808080"/>
      <rgbColor rgb="FF9999FF"/>
      <rgbColor rgb="FF7030A0"/>
      <rgbColor rgb="FFFFF2CC"/>
      <rgbColor rgb="FFDDEB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F2F2F2"/>
      <rgbColor rgb="FFE2EFDA"/>
      <rgbColor rgb="FFFFFF99"/>
      <rgbColor rgb="FF99CCFF"/>
      <rgbColor rgb="FFFF99CC"/>
      <rgbColor rgb="FFCC99FF"/>
      <rgbColor rgb="FFFCE4D6"/>
      <rgbColor rgb="FF3366FF"/>
      <rgbColor rgb="FF33CCCC"/>
      <rgbColor rgb="FF99CC00"/>
      <rgbColor rgb="FFFFCC00"/>
      <rgbColor rgb="FFFF9900"/>
      <rgbColor rgb="FFED7D31"/>
      <rgbColor rgb="FF595959"/>
      <rgbColor rgb="FF969696"/>
      <rgbColor rgb="FF1F3864"/>
      <rgbColor rgb="FF339966"/>
      <rgbColor rgb="FF003300"/>
      <rgbColor rgb="FF333300"/>
      <rgbColor rgb="FF833C00"/>
      <rgbColor rgb="FF993366"/>
      <rgbColor rgb="FF2E5395"/>
      <rgbColor rgb="FF37562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true"/>
  </sheetPr>
  <dimension ref="A1:F30"/>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6"/>
    <col collapsed="false" customWidth="true" hidden="false" outlineLevel="0" max="2" min="2" style="1" width="22"/>
    <col collapsed="false" customWidth="true" hidden="false" outlineLevel="0" max="6" min="3" style="1" width="20"/>
  </cols>
  <sheetData>
    <row r="1" customFormat="false" ht="31.5" hidden="false" customHeight="true" outlineLevel="0" collapsed="false">
      <c r="A1" s="2" t="s">
        <v>0</v>
      </c>
      <c r="B1" s="2"/>
      <c r="C1" s="2"/>
      <c r="D1" s="2"/>
      <c r="E1" s="2"/>
      <c r="F1" s="2"/>
    </row>
    <row r="2" customFormat="false" ht="15.75" hidden="false" customHeight="true" outlineLevel="0" collapsed="false">
      <c r="A2" s="3" t="s">
        <v>1</v>
      </c>
      <c r="B2" s="3"/>
      <c r="C2" s="3"/>
      <c r="D2" s="3"/>
      <c r="E2" s="3"/>
      <c r="F2" s="3"/>
    </row>
    <row r="4" customFormat="false" ht="21.75" hidden="false" customHeight="true" outlineLevel="0" collapsed="false">
      <c r="A4" s="4" t="s">
        <v>2</v>
      </c>
      <c r="B4" s="4"/>
      <c r="C4" s="4"/>
      <c r="D4" s="4"/>
      <c r="E4" s="4"/>
      <c r="F4" s="4"/>
    </row>
    <row r="6" customFormat="false" ht="15" hidden="false" customHeight="true" outlineLevel="0" collapsed="false">
      <c r="A6" s="5" t="s">
        <v>3</v>
      </c>
      <c r="B6" s="5"/>
      <c r="C6" s="5"/>
      <c r="D6" s="5"/>
      <c r="E6" s="5"/>
      <c r="F6" s="5"/>
    </row>
    <row r="7" customFormat="false" ht="15" hidden="false" customHeight="true" outlineLevel="0" collapsed="false">
      <c r="A7" s="5" t="s">
        <v>4</v>
      </c>
      <c r="B7" s="5"/>
      <c r="C7" s="5"/>
      <c r="D7" s="5"/>
      <c r="E7" s="5"/>
      <c r="F7" s="5"/>
    </row>
    <row r="8" customFormat="false" ht="15" hidden="false" customHeight="true" outlineLevel="0" collapsed="false">
      <c r="A8" s="5" t="s">
        <v>5</v>
      </c>
      <c r="B8" s="5"/>
      <c r="C8" s="5"/>
      <c r="D8" s="5"/>
      <c r="E8" s="5"/>
      <c r="F8" s="5"/>
    </row>
    <row r="9" customFormat="false" ht="15" hidden="false" customHeight="true" outlineLevel="0" collapsed="false">
      <c r="A9" s="5" t="s">
        <v>6</v>
      </c>
      <c r="B9" s="5"/>
      <c r="C9" s="5"/>
      <c r="D9" s="5"/>
      <c r="E9" s="5"/>
      <c r="F9" s="5"/>
    </row>
    <row r="10" customFormat="false" ht="15" hidden="false" customHeight="true" outlineLevel="0" collapsed="false">
      <c r="A10" s="5" t="s">
        <v>7</v>
      </c>
      <c r="B10" s="5"/>
      <c r="C10" s="5"/>
      <c r="D10" s="5"/>
      <c r="E10" s="5"/>
      <c r="F10" s="5"/>
    </row>
    <row r="11" customFormat="false" ht="15" hidden="false" customHeight="true" outlineLevel="0" collapsed="false">
      <c r="A11" s="5" t="s">
        <v>8</v>
      </c>
      <c r="B11" s="5"/>
      <c r="C11" s="5"/>
      <c r="D11" s="5"/>
      <c r="E11" s="5"/>
      <c r="F11" s="5"/>
    </row>
    <row r="13" customFormat="false" ht="21.75" hidden="false" customHeight="true" outlineLevel="0" collapsed="false">
      <c r="A13" s="4" t="s">
        <v>9</v>
      </c>
      <c r="B13" s="4"/>
      <c r="C13" s="4"/>
      <c r="D13" s="4"/>
      <c r="E13" s="4"/>
      <c r="F13" s="4"/>
    </row>
    <row r="15" customFormat="false" ht="15" hidden="false" customHeight="true" outlineLevel="0" collapsed="false">
      <c r="A15" s="6"/>
      <c r="B15" s="5" t="s">
        <v>10</v>
      </c>
      <c r="C15" s="5"/>
      <c r="D15" s="5"/>
      <c r="E15" s="5"/>
      <c r="F15" s="5"/>
    </row>
    <row r="16" customFormat="false" ht="15" hidden="false" customHeight="true" outlineLevel="0" collapsed="false">
      <c r="A16" s="7"/>
      <c r="B16" s="5" t="s">
        <v>11</v>
      </c>
      <c r="C16" s="5"/>
      <c r="D16" s="5"/>
      <c r="E16" s="5"/>
      <c r="F16" s="5"/>
    </row>
    <row r="17" customFormat="false" ht="15" hidden="false" customHeight="true" outlineLevel="0" collapsed="false">
      <c r="A17" s="8"/>
      <c r="B17" s="5" t="s">
        <v>12</v>
      </c>
      <c r="C17" s="5"/>
      <c r="D17" s="5"/>
      <c r="E17" s="5"/>
      <c r="F17" s="5"/>
    </row>
    <row r="18" customFormat="false" ht="15" hidden="false" customHeight="true" outlineLevel="0" collapsed="false">
      <c r="A18" s="9"/>
      <c r="B18" s="5" t="s">
        <v>13</v>
      </c>
      <c r="C18" s="5"/>
      <c r="D18" s="5"/>
      <c r="E18" s="5"/>
      <c r="F18" s="5"/>
    </row>
    <row r="20" customFormat="false" ht="21.75" hidden="false" customHeight="true" outlineLevel="0" collapsed="false">
      <c r="A20" s="4" t="s">
        <v>14</v>
      </c>
      <c r="B20" s="4"/>
      <c r="C20" s="4"/>
      <c r="D20" s="4"/>
      <c r="E20" s="4"/>
      <c r="F20" s="4"/>
    </row>
    <row r="22" customFormat="false" ht="15" hidden="false" customHeight="true" outlineLevel="0" collapsed="false">
      <c r="A22" s="10" t="s">
        <v>15</v>
      </c>
      <c r="B22" s="5" t="s">
        <v>16</v>
      </c>
      <c r="C22" s="5"/>
      <c r="D22" s="5"/>
      <c r="E22" s="5"/>
      <c r="F22" s="5"/>
    </row>
    <row r="23" customFormat="false" ht="15" hidden="false" customHeight="true" outlineLevel="0" collapsed="false">
      <c r="A23" s="10" t="s">
        <v>17</v>
      </c>
      <c r="B23" s="5" t="s">
        <v>18</v>
      </c>
      <c r="C23" s="5"/>
      <c r="D23" s="5"/>
      <c r="E23" s="5"/>
      <c r="F23" s="5"/>
    </row>
    <row r="24" customFormat="false" ht="15" hidden="false" customHeight="true" outlineLevel="0" collapsed="false">
      <c r="A24" s="10" t="s">
        <v>19</v>
      </c>
      <c r="B24" s="5" t="s">
        <v>20</v>
      </c>
      <c r="C24" s="5"/>
      <c r="D24" s="5"/>
      <c r="E24" s="5"/>
      <c r="F24" s="5"/>
    </row>
    <row r="25" customFormat="false" ht="15" hidden="false" customHeight="true" outlineLevel="0" collapsed="false">
      <c r="A25" s="10" t="s">
        <v>21</v>
      </c>
      <c r="B25" s="5" t="s">
        <v>22</v>
      </c>
      <c r="C25" s="5"/>
      <c r="D25" s="5"/>
      <c r="E25" s="5"/>
      <c r="F25" s="5"/>
    </row>
    <row r="26" customFormat="false" ht="15" hidden="false" customHeight="true" outlineLevel="0" collapsed="false">
      <c r="A26" s="10" t="s">
        <v>23</v>
      </c>
      <c r="B26" s="5" t="s">
        <v>24</v>
      </c>
      <c r="C26" s="5"/>
      <c r="D26" s="5"/>
      <c r="E26" s="5"/>
      <c r="F26" s="5"/>
    </row>
    <row r="28" customFormat="false" ht="21.75" hidden="false" customHeight="true" outlineLevel="0" collapsed="false">
      <c r="A28" s="4" t="s">
        <v>25</v>
      </c>
      <c r="B28" s="4"/>
      <c r="C28" s="4"/>
      <c r="D28" s="4"/>
      <c r="E28" s="4"/>
      <c r="F28" s="4"/>
    </row>
    <row r="30" customFormat="false" ht="15" hidden="false" customHeight="true" outlineLevel="0" collapsed="false">
      <c r="A30" s="5" t="s">
        <v>26</v>
      </c>
      <c r="B30" s="5"/>
      <c r="C30" s="5"/>
      <c r="D30" s="5"/>
      <c r="E30" s="5"/>
      <c r="F30" s="5"/>
    </row>
  </sheetData>
  <mergeCells count="22">
    <mergeCell ref="A1:F1"/>
    <mergeCell ref="A2:F2"/>
    <mergeCell ref="A4:F4"/>
    <mergeCell ref="A6:F6"/>
    <mergeCell ref="A7:F7"/>
    <mergeCell ref="A8:F8"/>
    <mergeCell ref="A9:F9"/>
    <mergeCell ref="A10:F10"/>
    <mergeCell ref="A11:F11"/>
    <mergeCell ref="A13:F13"/>
    <mergeCell ref="B15:F15"/>
    <mergeCell ref="B16:F16"/>
    <mergeCell ref="B17:F17"/>
    <mergeCell ref="B18:F18"/>
    <mergeCell ref="A20:F20"/>
    <mergeCell ref="B22:F22"/>
    <mergeCell ref="B23:F23"/>
    <mergeCell ref="B24:F24"/>
    <mergeCell ref="B25:F25"/>
    <mergeCell ref="B26:F26"/>
    <mergeCell ref="A28:F28"/>
    <mergeCell ref="A30:F30"/>
  </mergeCells>
  <printOptions headings="false" gridLines="false" gridLinesSet="true" horizontalCentered="false" verticalCentered="false"/>
  <pageMargins left="0.3" right="0.3" top="0.4" bottom="0.4"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5395"/>
    <pageSetUpPr fitToPage="true"/>
  </sheetPr>
  <dimension ref="A1:K2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
    <col collapsed="false" customWidth="true" hidden="false" outlineLevel="0" max="2" min="2" style="1" width="30"/>
    <col collapsed="false" customWidth="true" hidden="false" outlineLevel="0" max="3" min="3" style="1" width="20"/>
    <col collapsed="false" customWidth="true" hidden="false" outlineLevel="0" max="4" min="4" style="1" width="22"/>
    <col collapsed="false" customWidth="true" hidden="false" outlineLevel="0" max="5" min="5" style="1" width="26"/>
    <col collapsed="false" customWidth="true" hidden="false" outlineLevel="0" max="6" min="6" style="1" width="20"/>
    <col collapsed="false" customWidth="true" hidden="false" outlineLevel="0" max="7" min="7" style="1" width="24"/>
    <col collapsed="false" customWidth="true" hidden="false" outlineLevel="0" max="8" min="8" style="1" width="22"/>
    <col collapsed="false" customWidth="true" hidden="false" outlineLevel="0" max="9" min="9" style="1" width="36"/>
    <col collapsed="false" customWidth="true" hidden="false" outlineLevel="0" max="10" min="10" style="1" width="34"/>
    <col collapsed="false" customWidth="true" hidden="false" outlineLevel="0" max="11" min="11" style="1" width="30"/>
  </cols>
  <sheetData>
    <row r="1" customFormat="false" ht="31.5" hidden="false" customHeight="true" outlineLevel="0" collapsed="false">
      <c r="A1" s="2" t="s">
        <v>27</v>
      </c>
      <c r="B1" s="2"/>
      <c r="C1" s="2"/>
      <c r="D1" s="2"/>
      <c r="E1" s="2"/>
      <c r="F1" s="2"/>
      <c r="G1" s="2"/>
      <c r="H1" s="2"/>
      <c r="I1" s="2"/>
      <c r="J1" s="2"/>
      <c r="K1" s="2"/>
    </row>
    <row r="2" customFormat="false" ht="15.75" hidden="false" customHeight="true" outlineLevel="0" collapsed="false">
      <c r="A2" s="3" t="s">
        <v>28</v>
      </c>
      <c r="B2" s="3"/>
      <c r="C2" s="3"/>
      <c r="D2" s="3"/>
      <c r="E2" s="3"/>
      <c r="F2" s="3"/>
      <c r="G2" s="3"/>
      <c r="H2" s="3"/>
      <c r="I2" s="3"/>
      <c r="J2" s="3"/>
      <c r="K2" s="3"/>
    </row>
    <row r="4" customFormat="false" ht="27.75" hidden="false" customHeight="true" outlineLevel="0" collapsed="false">
      <c r="A4" s="11" t="s">
        <v>29</v>
      </c>
      <c r="B4" s="11" t="s">
        <v>30</v>
      </c>
      <c r="C4" s="11" t="s">
        <v>31</v>
      </c>
      <c r="D4" s="11" t="s">
        <v>32</v>
      </c>
      <c r="E4" s="11" t="s">
        <v>33</v>
      </c>
      <c r="F4" s="11" t="s">
        <v>34</v>
      </c>
      <c r="G4" s="11" t="s">
        <v>35</v>
      </c>
      <c r="H4" s="11" t="s">
        <v>36</v>
      </c>
      <c r="I4" s="11" t="s">
        <v>37</v>
      </c>
      <c r="J4" s="11" t="s">
        <v>38</v>
      </c>
      <c r="K4" s="11" t="s">
        <v>39</v>
      </c>
    </row>
    <row r="5" customFormat="false" ht="43.5" hidden="false" customHeight="true" outlineLevel="0" collapsed="false">
      <c r="A5" s="12" t="n">
        <v>1</v>
      </c>
      <c r="B5" s="13" t="s">
        <v>40</v>
      </c>
      <c r="C5" s="13" t="s">
        <v>41</v>
      </c>
      <c r="D5" s="13" t="s">
        <v>42</v>
      </c>
      <c r="E5" s="13" t="s">
        <v>43</v>
      </c>
      <c r="F5" s="13" t="s">
        <v>44</v>
      </c>
      <c r="G5" s="13" t="s">
        <v>45</v>
      </c>
      <c r="H5" s="13" t="s">
        <v>46</v>
      </c>
      <c r="I5" s="13" t="s">
        <v>47</v>
      </c>
      <c r="J5" s="14" t="s">
        <v>48</v>
      </c>
      <c r="K5" s="13" t="s">
        <v>49</v>
      </c>
    </row>
    <row r="6" customFormat="false" ht="43.5" hidden="false" customHeight="true" outlineLevel="0" collapsed="false">
      <c r="A6" s="15" t="n">
        <v>2</v>
      </c>
      <c r="B6" s="16" t="s">
        <v>50</v>
      </c>
      <c r="C6" s="16" t="s">
        <v>51</v>
      </c>
      <c r="D6" s="16" t="s">
        <v>52</v>
      </c>
      <c r="E6" s="16" t="s">
        <v>53</v>
      </c>
      <c r="F6" s="16" t="s">
        <v>54</v>
      </c>
      <c r="G6" s="16" t="s">
        <v>55</v>
      </c>
      <c r="H6" s="16" t="s">
        <v>56</v>
      </c>
      <c r="I6" s="16" t="s">
        <v>57</v>
      </c>
      <c r="J6" s="14" t="s">
        <v>48</v>
      </c>
      <c r="K6" s="16" t="s">
        <v>58</v>
      </c>
    </row>
    <row r="7" customFormat="false" ht="43.5" hidden="false" customHeight="true" outlineLevel="0" collapsed="false">
      <c r="A7" s="12" t="n">
        <v>3</v>
      </c>
      <c r="B7" s="13" t="s">
        <v>59</v>
      </c>
      <c r="C7" s="13" t="s">
        <v>60</v>
      </c>
      <c r="D7" s="13" t="s">
        <v>61</v>
      </c>
      <c r="E7" s="13" t="s">
        <v>62</v>
      </c>
      <c r="F7" s="13" t="s">
        <v>54</v>
      </c>
      <c r="G7" s="13" t="s">
        <v>55</v>
      </c>
      <c r="H7" s="13" t="s">
        <v>63</v>
      </c>
      <c r="I7" s="13" t="s">
        <v>64</v>
      </c>
      <c r="J7" s="14" t="s">
        <v>48</v>
      </c>
      <c r="K7" s="13" t="s">
        <v>65</v>
      </c>
    </row>
    <row r="8" customFormat="false" ht="43.5" hidden="false" customHeight="true" outlineLevel="0" collapsed="false">
      <c r="A8" s="15" t="n">
        <v>4</v>
      </c>
      <c r="B8" s="16" t="s">
        <v>66</v>
      </c>
      <c r="C8" s="16" t="s">
        <v>51</v>
      </c>
      <c r="D8" s="16" t="s">
        <v>67</v>
      </c>
      <c r="E8" s="16" t="s">
        <v>68</v>
      </c>
      <c r="F8" s="16" t="s">
        <v>69</v>
      </c>
      <c r="G8" s="16" t="s">
        <v>55</v>
      </c>
      <c r="H8" s="16" t="s">
        <v>70</v>
      </c>
      <c r="I8" s="16" t="s">
        <v>71</v>
      </c>
      <c r="J8" s="14" t="s">
        <v>48</v>
      </c>
      <c r="K8" s="16" t="s">
        <v>72</v>
      </c>
    </row>
    <row r="9" customFormat="false" ht="43.5" hidden="false" customHeight="true" outlineLevel="0" collapsed="false">
      <c r="A9" s="12" t="n">
        <v>5</v>
      </c>
      <c r="B9" s="13" t="s">
        <v>73</v>
      </c>
      <c r="C9" s="13" t="s">
        <v>74</v>
      </c>
      <c r="D9" s="13" t="s">
        <v>75</v>
      </c>
      <c r="E9" s="13" t="s">
        <v>76</v>
      </c>
      <c r="F9" s="13" t="s">
        <v>55</v>
      </c>
      <c r="G9" s="13" t="s">
        <v>55</v>
      </c>
      <c r="H9" s="13" t="s">
        <v>77</v>
      </c>
      <c r="I9" s="13" t="s">
        <v>78</v>
      </c>
      <c r="J9" s="14" t="s">
        <v>48</v>
      </c>
      <c r="K9" s="13" t="s">
        <v>79</v>
      </c>
    </row>
    <row r="10" customFormat="false" ht="43.5" hidden="false" customHeight="true" outlineLevel="0" collapsed="false">
      <c r="A10" s="15" t="n">
        <v>6</v>
      </c>
      <c r="B10" s="16" t="s">
        <v>80</v>
      </c>
      <c r="C10" s="16" t="s">
        <v>51</v>
      </c>
      <c r="D10" s="16" t="s">
        <v>81</v>
      </c>
      <c r="E10" s="16" t="s">
        <v>82</v>
      </c>
      <c r="F10" s="16" t="s">
        <v>55</v>
      </c>
      <c r="G10" s="16" t="s">
        <v>55</v>
      </c>
      <c r="H10" s="16" t="s">
        <v>83</v>
      </c>
      <c r="I10" s="16" t="s">
        <v>84</v>
      </c>
      <c r="J10" s="14" t="s">
        <v>48</v>
      </c>
      <c r="K10" s="16" t="s">
        <v>85</v>
      </c>
    </row>
    <row r="11" customFormat="false" ht="43.5" hidden="false" customHeight="true" outlineLevel="0" collapsed="false">
      <c r="A11" s="12" t="n">
        <v>7</v>
      </c>
      <c r="B11" s="13" t="s">
        <v>86</v>
      </c>
      <c r="C11" s="13" t="s">
        <v>51</v>
      </c>
      <c r="D11" s="13" t="s">
        <v>75</v>
      </c>
      <c r="E11" s="13" t="s">
        <v>87</v>
      </c>
      <c r="F11" s="13" t="s">
        <v>55</v>
      </c>
      <c r="G11" s="13" t="s">
        <v>55</v>
      </c>
      <c r="H11" s="13" t="s">
        <v>88</v>
      </c>
      <c r="I11" s="13" t="s">
        <v>89</v>
      </c>
      <c r="J11" s="14" t="s">
        <v>48</v>
      </c>
      <c r="K11" s="13" t="s">
        <v>90</v>
      </c>
    </row>
    <row r="12" customFormat="false" ht="43.5" hidden="false" customHeight="true" outlineLevel="0" collapsed="false">
      <c r="A12" s="15" t="n">
        <v>8</v>
      </c>
      <c r="B12" s="16" t="s">
        <v>91</v>
      </c>
      <c r="C12" s="16" t="s">
        <v>92</v>
      </c>
      <c r="D12" s="16" t="s">
        <v>93</v>
      </c>
      <c r="E12" s="16" t="s">
        <v>94</v>
      </c>
      <c r="F12" s="16" t="s">
        <v>54</v>
      </c>
      <c r="G12" s="16" t="s">
        <v>55</v>
      </c>
      <c r="H12" s="16" t="s">
        <v>95</v>
      </c>
      <c r="I12" s="16" t="s">
        <v>96</v>
      </c>
      <c r="J12" s="14" t="s">
        <v>48</v>
      </c>
      <c r="K12" s="16" t="s">
        <v>97</v>
      </c>
    </row>
    <row r="13" customFormat="false" ht="43.5" hidden="false" customHeight="true" outlineLevel="0" collapsed="false">
      <c r="A13" s="12" t="n">
        <v>9</v>
      </c>
      <c r="B13" s="13" t="s">
        <v>98</v>
      </c>
      <c r="C13" s="13" t="s">
        <v>99</v>
      </c>
      <c r="D13" s="13" t="s">
        <v>100</v>
      </c>
      <c r="E13" s="13" t="s">
        <v>101</v>
      </c>
      <c r="F13" s="13" t="s">
        <v>54</v>
      </c>
      <c r="G13" s="13" t="s">
        <v>55</v>
      </c>
      <c r="H13" s="13" t="s">
        <v>77</v>
      </c>
      <c r="I13" s="13" t="s">
        <v>102</v>
      </c>
      <c r="J13" s="14" t="s">
        <v>48</v>
      </c>
      <c r="K13" s="13" t="s">
        <v>103</v>
      </c>
    </row>
    <row r="14" customFormat="false" ht="43.5" hidden="false" customHeight="true" outlineLevel="0" collapsed="false">
      <c r="A14" s="15" t="n">
        <v>10</v>
      </c>
      <c r="B14" s="16" t="s">
        <v>104</v>
      </c>
      <c r="C14" s="16" t="s">
        <v>51</v>
      </c>
      <c r="D14" s="16" t="s">
        <v>75</v>
      </c>
      <c r="E14" s="16" t="s">
        <v>105</v>
      </c>
      <c r="F14" s="16" t="s">
        <v>54</v>
      </c>
      <c r="G14" s="16" t="s">
        <v>55</v>
      </c>
      <c r="H14" s="16" t="s">
        <v>88</v>
      </c>
      <c r="I14" s="16" t="s">
        <v>106</v>
      </c>
      <c r="J14" s="14" t="s">
        <v>48</v>
      </c>
      <c r="K14" s="16" t="s">
        <v>107</v>
      </c>
    </row>
    <row r="15" customFormat="false" ht="43.5" hidden="false" customHeight="true" outlineLevel="0" collapsed="false">
      <c r="A15" s="12" t="n">
        <v>11</v>
      </c>
      <c r="B15" s="13" t="s">
        <v>108</v>
      </c>
      <c r="C15" s="13" t="s">
        <v>51</v>
      </c>
      <c r="D15" s="13" t="s">
        <v>109</v>
      </c>
      <c r="E15" s="13" t="s">
        <v>110</v>
      </c>
      <c r="F15" s="13" t="s">
        <v>111</v>
      </c>
      <c r="G15" s="13" t="s">
        <v>112</v>
      </c>
      <c r="H15" s="13" t="s">
        <v>112</v>
      </c>
      <c r="I15" s="13" t="s">
        <v>113</v>
      </c>
      <c r="J15" s="14" t="s">
        <v>48</v>
      </c>
      <c r="K15" s="13" t="s">
        <v>114</v>
      </c>
    </row>
    <row r="16" customFormat="false" ht="43.5" hidden="false" customHeight="true" outlineLevel="0" collapsed="false">
      <c r="A16" s="15" t="n">
        <v>12</v>
      </c>
      <c r="B16" s="16" t="s">
        <v>115</v>
      </c>
      <c r="C16" s="16" t="s">
        <v>51</v>
      </c>
      <c r="D16" s="16" t="s">
        <v>116</v>
      </c>
      <c r="E16" s="16" t="s">
        <v>117</v>
      </c>
      <c r="F16" s="16" t="s">
        <v>118</v>
      </c>
      <c r="G16" s="16" t="s">
        <v>119</v>
      </c>
      <c r="H16" s="16" t="s">
        <v>120</v>
      </c>
      <c r="I16" s="16" t="s">
        <v>121</v>
      </c>
      <c r="J16" s="17" t="s">
        <v>122</v>
      </c>
      <c r="K16" s="16" t="s">
        <v>123</v>
      </c>
    </row>
    <row r="17" customFormat="false" ht="43.5" hidden="false" customHeight="true" outlineLevel="0" collapsed="false">
      <c r="A17" s="12" t="n">
        <v>13</v>
      </c>
      <c r="B17" s="13" t="s">
        <v>124</v>
      </c>
      <c r="C17" s="13" t="s">
        <v>51</v>
      </c>
      <c r="D17" s="13" t="s">
        <v>125</v>
      </c>
      <c r="E17" s="13" t="s">
        <v>126</v>
      </c>
      <c r="F17" s="13" t="s">
        <v>127</v>
      </c>
      <c r="G17" s="13" t="s">
        <v>128</v>
      </c>
      <c r="H17" s="13" t="s">
        <v>112</v>
      </c>
      <c r="I17" s="13" t="s">
        <v>129</v>
      </c>
      <c r="J17" s="14" t="s">
        <v>48</v>
      </c>
      <c r="K17" s="13" t="s">
        <v>130</v>
      </c>
    </row>
    <row r="18" customFormat="false" ht="43.5" hidden="false" customHeight="true" outlineLevel="0" collapsed="false">
      <c r="A18" s="15" t="n">
        <v>14</v>
      </c>
      <c r="B18" s="16" t="s">
        <v>131</v>
      </c>
      <c r="C18" s="16" t="s">
        <v>51</v>
      </c>
      <c r="D18" s="16" t="s">
        <v>125</v>
      </c>
      <c r="E18" s="16" t="s">
        <v>132</v>
      </c>
      <c r="F18" s="16" t="s">
        <v>133</v>
      </c>
      <c r="G18" s="16" t="s">
        <v>134</v>
      </c>
      <c r="H18" s="16" t="s">
        <v>112</v>
      </c>
      <c r="I18" s="16" t="s">
        <v>135</v>
      </c>
      <c r="J18" s="14" t="s">
        <v>48</v>
      </c>
      <c r="K18" s="16" t="s">
        <v>136</v>
      </c>
    </row>
    <row r="19" customFormat="false" ht="43.5" hidden="false" customHeight="true" outlineLevel="0" collapsed="false">
      <c r="A19" s="12" t="n">
        <v>15</v>
      </c>
      <c r="B19" s="13" t="s">
        <v>137</v>
      </c>
      <c r="C19" s="13" t="s">
        <v>51</v>
      </c>
      <c r="D19" s="13" t="s">
        <v>125</v>
      </c>
      <c r="E19" s="13" t="s">
        <v>126</v>
      </c>
      <c r="F19" s="13" t="s">
        <v>133</v>
      </c>
      <c r="G19" s="13" t="s">
        <v>138</v>
      </c>
      <c r="H19" s="13" t="s">
        <v>112</v>
      </c>
      <c r="I19" s="13" t="s">
        <v>135</v>
      </c>
      <c r="J19" s="14" t="s">
        <v>48</v>
      </c>
      <c r="K19" s="13" t="s">
        <v>136</v>
      </c>
    </row>
    <row r="20" customFormat="false" ht="43.5" hidden="false" customHeight="true" outlineLevel="0" collapsed="false">
      <c r="A20" s="15" t="n">
        <v>16</v>
      </c>
      <c r="B20" s="16" t="s">
        <v>139</v>
      </c>
      <c r="C20" s="16" t="s">
        <v>51</v>
      </c>
      <c r="D20" s="16" t="s">
        <v>125</v>
      </c>
      <c r="E20" s="16" t="s">
        <v>140</v>
      </c>
      <c r="F20" s="16" t="s">
        <v>141</v>
      </c>
      <c r="G20" s="16" t="s">
        <v>138</v>
      </c>
      <c r="H20" s="16" t="s">
        <v>112</v>
      </c>
      <c r="I20" s="16" t="s">
        <v>142</v>
      </c>
      <c r="J20" s="14" t="s">
        <v>48</v>
      </c>
      <c r="K20" s="16" t="s">
        <v>136</v>
      </c>
    </row>
    <row r="21" customFormat="false" ht="43.5" hidden="false" customHeight="true" outlineLevel="0" collapsed="false">
      <c r="A21" s="12" t="n">
        <v>17</v>
      </c>
      <c r="B21" s="13" t="s">
        <v>143</v>
      </c>
      <c r="C21" s="13" t="s">
        <v>51</v>
      </c>
      <c r="D21" s="13" t="s">
        <v>144</v>
      </c>
      <c r="E21" s="13" t="s">
        <v>145</v>
      </c>
      <c r="F21" s="13" t="s">
        <v>146</v>
      </c>
      <c r="G21" s="13" t="s">
        <v>138</v>
      </c>
      <c r="H21" s="13" t="s">
        <v>112</v>
      </c>
      <c r="I21" s="13" t="s">
        <v>147</v>
      </c>
      <c r="J21" s="14" t="s">
        <v>48</v>
      </c>
      <c r="K21" s="13" t="s">
        <v>148</v>
      </c>
    </row>
    <row r="22" customFormat="false" ht="43.5" hidden="false" customHeight="true" outlineLevel="0" collapsed="false">
      <c r="A22" s="15" t="n">
        <v>18</v>
      </c>
      <c r="B22" s="16" t="s">
        <v>149</v>
      </c>
      <c r="C22" s="16" t="s">
        <v>51</v>
      </c>
      <c r="D22" s="16" t="s">
        <v>150</v>
      </c>
      <c r="E22" s="16" t="s">
        <v>151</v>
      </c>
      <c r="F22" s="16" t="s">
        <v>152</v>
      </c>
      <c r="G22" s="16" t="s">
        <v>153</v>
      </c>
      <c r="H22" s="16" t="s">
        <v>112</v>
      </c>
      <c r="I22" s="16" t="s">
        <v>154</v>
      </c>
      <c r="J22" s="17" t="s">
        <v>122</v>
      </c>
      <c r="K22" s="16" t="s">
        <v>155</v>
      </c>
    </row>
    <row r="23" customFormat="false" ht="43.5" hidden="false" customHeight="true" outlineLevel="0" collapsed="false">
      <c r="A23" s="12" t="n">
        <v>19</v>
      </c>
      <c r="B23" s="13" t="s">
        <v>156</v>
      </c>
      <c r="C23" s="13" t="s">
        <v>99</v>
      </c>
      <c r="D23" s="13" t="s">
        <v>157</v>
      </c>
      <c r="E23" s="13" t="s">
        <v>101</v>
      </c>
      <c r="F23" s="13" t="s">
        <v>158</v>
      </c>
      <c r="G23" s="13" t="s">
        <v>159</v>
      </c>
      <c r="H23" s="13" t="s">
        <v>112</v>
      </c>
      <c r="I23" s="13" t="s">
        <v>160</v>
      </c>
      <c r="J23" s="14" t="s">
        <v>48</v>
      </c>
      <c r="K23" s="13" t="s">
        <v>161</v>
      </c>
    </row>
    <row r="24" customFormat="false" ht="43.5" hidden="false" customHeight="true" outlineLevel="0" collapsed="false">
      <c r="A24" s="15" t="n">
        <v>20</v>
      </c>
      <c r="B24" s="16" t="s">
        <v>162</v>
      </c>
      <c r="C24" s="16" t="s">
        <v>51</v>
      </c>
      <c r="D24" s="16" t="s">
        <v>163</v>
      </c>
      <c r="E24" s="16" t="s">
        <v>164</v>
      </c>
      <c r="F24" s="16" t="s">
        <v>112</v>
      </c>
      <c r="G24" s="16" t="s">
        <v>112</v>
      </c>
      <c r="H24" s="16" t="s">
        <v>112</v>
      </c>
      <c r="I24" s="16" t="s">
        <v>165</v>
      </c>
      <c r="J24" s="14" t="s">
        <v>48</v>
      </c>
      <c r="K24" s="16" t="s">
        <v>166</v>
      </c>
    </row>
    <row r="25" customFormat="false" ht="43.5" hidden="false" customHeight="true" outlineLevel="0" collapsed="false">
      <c r="A25" s="12" t="n">
        <v>21</v>
      </c>
      <c r="B25" s="13" t="s">
        <v>167</v>
      </c>
      <c r="C25" s="13" t="s">
        <v>51</v>
      </c>
      <c r="D25" s="13" t="s">
        <v>116</v>
      </c>
      <c r="E25" s="13" t="s">
        <v>168</v>
      </c>
      <c r="F25" s="13" t="s">
        <v>158</v>
      </c>
      <c r="G25" s="13" t="s">
        <v>169</v>
      </c>
      <c r="H25" s="13" t="s">
        <v>112</v>
      </c>
      <c r="I25" s="13" t="s">
        <v>170</v>
      </c>
      <c r="J25" s="14" t="s">
        <v>48</v>
      </c>
      <c r="K25" s="13" t="s">
        <v>171</v>
      </c>
    </row>
    <row r="26" customFormat="false" ht="27.75" hidden="false" customHeight="true" outlineLevel="0" collapsed="false">
      <c r="A26" s="18" t="s">
        <v>172</v>
      </c>
      <c r="B26" s="18"/>
      <c r="C26" s="18"/>
      <c r="D26" s="18"/>
      <c r="E26" s="18"/>
      <c r="F26" s="18"/>
      <c r="G26" s="18"/>
      <c r="H26" s="18"/>
      <c r="I26" s="18"/>
      <c r="J26" s="18"/>
      <c r="K26" s="18"/>
    </row>
  </sheetData>
  <mergeCells count="3">
    <mergeCell ref="A1:K1"/>
    <mergeCell ref="A2:K2"/>
    <mergeCell ref="A26:K26"/>
  </mergeCells>
  <printOptions headings="false" gridLines="false" gridLinesSet="true" horizontalCentered="false" verticalCentered="false"/>
  <pageMargins left="0.3" right="0.3" top="0.4" bottom="0.4"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D7D31"/>
    <pageSetUpPr fitToPage="true"/>
  </sheetPr>
  <dimension ref="A1:E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4"/>
    <col collapsed="false" customWidth="true" hidden="false" outlineLevel="0" max="2" min="2" style="1" width="12"/>
    <col collapsed="false" customWidth="true" hidden="false" outlineLevel="0" max="3" min="3" style="1" width="20"/>
    <col collapsed="false" customWidth="true" hidden="false" outlineLevel="0" max="4" min="4" style="1" width="26"/>
    <col collapsed="false" customWidth="true" hidden="false" outlineLevel="0" max="5" min="5" style="1" width="55"/>
  </cols>
  <sheetData>
    <row r="1" customFormat="false" ht="31.5" hidden="false" customHeight="true" outlineLevel="0" collapsed="false">
      <c r="A1" s="2" t="s">
        <v>173</v>
      </c>
      <c r="B1" s="2"/>
      <c r="C1" s="2"/>
      <c r="D1" s="2"/>
      <c r="E1" s="2"/>
    </row>
    <row r="2" customFormat="false" ht="15.75" hidden="false" customHeight="true" outlineLevel="0" collapsed="false">
      <c r="A2" s="3" t="s">
        <v>174</v>
      </c>
      <c r="B2" s="3"/>
      <c r="C2" s="3"/>
      <c r="D2" s="3"/>
      <c r="E2" s="3"/>
    </row>
    <row r="4" customFormat="false" ht="27.75" hidden="false" customHeight="true" outlineLevel="0" collapsed="false">
      <c r="A4" s="11" t="s">
        <v>175</v>
      </c>
      <c r="B4" s="11" t="s">
        <v>176</v>
      </c>
      <c r="C4" s="11" t="s">
        <v>177</v>
      </c>
      <c r="D4" s="11" t="s">
        <v>178</v>
      </c>
      <c r="E4" s="11" t="s">
        <v>179</v>
      </c>
    </row>
    <row r="5" customFormat="false" ht="31.5" hidden="false" customHeight="true" outlineLevel="0" collapsed="false">
      <c r="A5" s="19" t="s">
        <v>180</v>
      </c>
      <c r="B5" s="20" t="n">
        <v>4</v>
      </c>
      <c r="C5" s="20" t="s">
        <v>181</v>
      </c>
      <c r="D5" s="20" t="s">
        <v>182</v>
      </c>
      <c r="E5" s="20" t="s">
        <v>183</v>
      </c>
    </row>
    <row r="6" customFormat="false" ht="31.5" hidden="false" customHeight="true" outlineLevel="0" collapsed="false">
      <c r="A6" s="21" t="s">
        <v>184</v>
      </c>
      <c r="B6" s="22" t="n">
        <v>2</v>
      </c>
      <c r="C6" s="22" t="s">
        <v>185</v>
      </c>
      <c r="D6" s="22" t="s">
        <v>186</v>
      </c>
      <c r="E6" s="22" t="s">
        <v>187</v>
      </c>
    </row>
    <row r="7" customFormat="false" ht="31.5" hidden="false" customHeight="true" outlineLevel="0" collapsed="false">
      <c r="A7" s="19" t="s">
        <v>188</v>
      </c>
      <c r="B7" s="20" t="n">
        <v>2</v>
      </c>
      <c r="C7" s="20" t="s">
        <v>185</v>
      </c>
      <c r="D7" s="20" t="s">
        <v>189</v>
      </c>
      <c r="E7" s="20" t="s">
        <v>190</v>
      </c>
    </row>
    <row r="8" customFormat="false" ht="31.5" hidden="false" customHeight="true" outlineLevel="0" collapsed="false">
      <c r="A8" s="21" t="s">
        <v>36</v>
      </c>
      <c r="B8" s="22" t="n">
        <v>2</v>
      </c>
      <c r="C8" s="22" t="s">
        <v>185</v>
      </c>
      <c r="D8" s="22" t="s">
        <v>191</v>
      </c>
      <c r="E8" s="22" t="s">
        <v>192</v>
      </c>
    </row>
    <row r="10" customFormat="false" ht="21.75" hidden="false" customHeight="true" outlineLevel="0" collapsed="false">
      <c r="A10" s="4" t="s">
        <v>193</v>
      </c>
      <c r="B10" s="4"/>
      <c r="C10" s="4"/>
      <c r="D10" s="4"/>
      <c r="E10" s="4"/>
    </row>
    <row r="12" customFormat="false" ht="15" hidden="false" customHeight="true" outlineLevel="0" collapsed="false">
      <c r="A12" s="23" t="s">
        <v>194</v>
      </c>
      <c r="B12" s="23"/>
      <c r="C12" s="23"/>
      <c r="D12" s="23"/>
      <c r="E12" s="23"/>
    </row>
    <row r="13" customFormat="false" ht="15" hidden="false" customHeight="true" outlineLevel="0" collapsed="false">
      <c r="A13" s="23" t="s">
        <v>195</v>
      </c>
      <c r="B13" s="23"/>
      <c r="C13" s="23"/>
      <c r="D13" s="23"/>
      <c r="E13" s="23"/>
    </row>
    <row r="15" customFormat="false" ht="21.75" hidden="false" customHeight="true" outlineLevel="0" collapsed="false">
      <c r="A15" s="4" t="s">
        <v>196</v>
      </c>
      <c r="B15" s="4"/>
      <c r="C15" s="4"/>
      <c r="D15" s="4"/>
      <c r="E15" s="4"/>
    </row>
    <row r="17" customFormat="false" ht="15" hidden="false" customHeight="true" outlineLevel="0" collapsed="false">
      <c r="A17" s="5" t="s">
        <v>197</v>
      </c>
      <c r="B17" s="5"/>
      <c r="C17" s="5"/>
      <c r="D17" s="5"/>
      <c r="E17" s="5"/>
    </row>
    <row r="18" customFormat="false" ht="15" hidden="false" customHeight="true" outlineLevel="0" collapsed="false">
      <c r="A18" s="5" t="s">
        <v>198</v>
      </c>
      <c r="B18" s="5"/>
      <c r="C18" s="5"/>
      <c r="D18" s="5"/>
      <c r="E18" s="5"/>
    </row>
    <row r="19" customFormat="false" ht="15" hidden="false" customHeight="true" outlineLevel="0" collapsed="false">
      <c r="A19" s="5" t="s">
        <v>199</v>
      </c>
      <c r="B19" s="5"/>
      <c r="C19" s="5"/>
      <c r="D19" s="5"/>
      <c r="E19" s="5"/>
    </row>
    <row r="20" customFormat="false" ht="15" hidden="false" customHeight="true" outlineLevel="0" collapsed="false">
      <c r="A20" s="5" t="s">
        <v>200</v>
      </c>
      <c r="B20" s="5"/>
      <c r="C20" s="5"/>
      <c r="D20" s="5"/>
      <c r="E20" s="5"/>
    </row>
    <row r="22" customFormat="false" ht="21.75" hidden="false" customHeight="true" outlineLevel="0" collapsed="false">
      <c r="A22" s="4" t="s">
        <v>201</v>
      </c>
      <c r="B22" s="4"/>
      <c r="C22" s="4"/>
      <c r="D22" s="4"/>
      <c r="E22" s="4"/>
    </row>
    <row r="24" customFormat="false" ht="27.75" hidden="false" customHeight="true" outlineLevel="0" collapsed="false">
      <c r="A24" s="11" t="s">
        <v>202</v>
      </c>
      <c r="B24" s="11" t="s">
        <v>203</v>
      </c>
      <c r="C24" s="11" t="s">
        <v>204</v>
      </c>
      <c r="D24" s="11" t="s">
        <v>205</v>
      </c>
      <c r="E24" s="11" t="s">
        <v>176</v>
      </c>
    </row>
    <row r="25" customFormat="false" ht="15" hidden="false" customHeight="true" outlineLevel="0" collapsed="false">
      <c r="A25" s="24" t="s">
        <v>206</v>
      </c>
      <c r="B25" s="24" t="s">
        <v>53</v>
      </c>
      <c r="C25" s="25" t="s">
        <v>43</v>
      </c>
      <c r="D25" s="24" t="s">
        <v>207</v>
      </c>
      <c r="E25" s="24" t="n">
        <v>4</v>
      </c>
    </row>
    <row r="26" customFormat="false" ht="15" hidden="false" customHeight="true" outlineLevel="0" collapsed="false">
      <c r="A26" s="26" t="s">
        <v>184</v>
      </c>
      <c r="B26" s="26" t="s">
        <v>208</v>
      </c>
      <c r="C26" s="27" t="s">
        <v>209</v>
      </c>
      <c r="D26" s="26" t="s">
        <v>207</v>
      </c>
      <c r="E26" s="26" t="n">
        <v>2</v>
      </c>
    </row>
    <row r="27" customFormat="false" ht="15" hidden="false" customHeight="true" outlineLevel="0" collapsed="false">
      <c r="A27" s="24" t="s">
        <v>188</v>
      </c>
      <c r="B27" s="24" t="s">
        <v>210</v>
      </c>
      <c r="C27" s="25" t="s">
        <v>211</v>
      </c>
      <c r="D27" s="24" t="s">
        <v>207</v>
      </c>
      <c r="E27" s="24" t="n">
        <v>2</v>
      </c>
    </row>
    <row r="28" customFormat="false" ht="15" hidden="false" customHeight="true" outlineLevel="0" collapsed="false">
      <c r="A28" s="26" t="s">
        <v>212</v>
      </c>
      <c r="B28" s="26" t="s">
        <v>213</v>
      </c>
      <c r="C28" s="27" t="s">
        <v>214</v>
      </c>
      <c r="D28" s="26" t="s">
        <v>207</v>
      </c>
      <c r="E28" s="26" t="n">
        <v>2</v>
      </c>
    </row>
    <row r="29" customFormat="false" ht="15" hidden="false" customHeight="true" outlineLevel="0" collapsed="false">
      <c r="A29" s="28" t="s">
        <v>215</v>
      </c>
      <c r="B29" s="6"/>
      <c r="C29" s="6"/>
      <c r="D29" s="6"/>
      <c r="E29" s="28" t="n">
        <f aca="false">SUM(E25:E28)</f>
        <v>10</v>
      </c>
    </row>
    <row r="30" customFormat="false" ht="15" hidden="false" customHeight="true" outlineLevel="0" collapsed="false">
      <c r="A30" s="28" t="s">
        <v>216</v>
      </c>
      <c r="B30" s="6"/>
      <c r="C30" s="6"/>
      <c r="D30" s="6"/>
      <c r="E30" s="28" t="n">
        <f aca="false">(E29/10)*100</f>
        <v>100</v>
      </c>
    </row>
  </sheetData>
  <mergeCells count="11">
    <mergeCell ref="A1:E1"/>
    <mergeCell ref="A2:E2"/>
    <mergeCell ref="A10:E10"/>
    <mergeCell ref="A12:E12"/>
    <mergeCell ref="A13:E13"/>
    <mergeCell ref="A15:E15"/>
    <mergeCell ref="A17:E17"/>
    <mergeCell ref="A18:E18"/>
    <mergeCell ref="A19:E19"/>
    <mergeCell ref="A20:E20"/>
    <mergeCell ref="A22:E22"/>
  </mergeCells>
  <printOptions headings="false" gridLines="false" gridLinesSet="true" horizontalCentered="false" verticalCentered="false"/>
  <pageMargins left="0.3" right="0.3" top="0.4" bottom="0.4"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48235"/>
    <pageSetUpPr fitToPage="true"/>
  </sheetPr>
  <dimension ref="A1:O2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0" topLeftCell="A11"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
    <col collapsed="false" customWidth="true" hidden="false" outlineLevel="0" max="2" min="2" style="1" width="32"/>
    <col collapsed="false" customWidth="true" hidden="false" outlineLevel="0" max="3" min="3" style="1" width="20"/>
    <col collapsed="false" customWidth="true" hidden="false" outlineLevel="0" max="5" min="4" style="1" width="8"/>
    <col collapsed="false" customWidth="true" hidden="false" outlineLevel="0" max="6" min="6" style="1" width="14"/>
    <col collapsed="false" customWidth="true" hidden="false" outlineLevel="0" max="7" min="7" style="1" width="22"/>
    <col collapsed="false" customWidth="true" hidden="false" outlineLevel="0" max="8" min="8" style="1" width="30"/>
    <col collapsed="false" customWidth="true" hidden="false" outlineLevel="0" max="12" min="9" style="1" width="8"/>
    <col collapsed="false" customWidth="true" hidden="false" outlineLevel="0" max="13" min="13" style="1" width="9"/>
    <col collapsed="false" customWidth="true" hidden="false" outlineLevel="0" max="14" min="14" style="1" width="10"/>
    <col collapsed="false" customWidth="true" hidden="false" outlineLevel="0" max="15" min="15" style="1" width="12"/>
  </cols>
  <sheetData>
    <row r="1" customFormat="false" ht="31.5" hidden="false" customHeight="true" outlineLevel="0" collapsed="false">
      <c r="A1" s="2" t="s">
        <v>217</v>
      </c>
      <c r="B1" s="2"/>
      <c r="C1" s="2"/>
      <c r="D1" s="2"/>
      <c r="E1" s="2"/>
      <c r="F1" s="2"/>
      <c r="G1" s="2"/>
      <c r="H1" s="2"/>
      <c r="I1" s="2"/>
      <c r="J1" s="2"/>
      <c r="K1" s="2"/>
      <c r="L1" s="2"/>
      <c r="M1" s="2"/>
      <c r="N1" s="2"/>
      <c r="O1" s="2"/>
    </row>
    <row r="2" customFormat="false" ht="15.75" hidden="false" customHeight="true" outlineLevel="0" collapsed="false">
      <c r="A2" s="3" t="s">
        <v>218</v>
      </c>
      <c r="B2" s="3"/>
      <c r="C2" s="3"/>
      <c r="D2" s="3"/>
      <c r="E2" s="3"/>
      <c r="F2" s="3"/>
      <c r="G2" s="3"/>
      <c r="H2" s="3"/>
      <c r="I2" s="3"/>
      <c r="J2" s="3"/>
      <c r="K2" s="3"/>
      <c r="L2" s="3"/>
      <c r="M2" s="3"/>
      <c r="N2" s="3"/>
      <c r="O2" s="3"/>
    </row>
    <row r="4" customFormat="false" ht="21.75" hidden="false" customHeight="true" outlineLevel="0" collapsed="false">
      <c r="A4" s="4" t="s">
        <v>219</v>
      </c>
      <c r="B4" s="4"/>
      <c r="C4" s="4"/>
      <c r="D4" s="4"/>
      <c r="E4" s="4"/>
      <c r="F4" s="4"/>
      <c r="G4" s="4"/>
      <c r="H4" s="4"/>
      <c r="I4" s="4"/>
      <c r="J4" s="4"/>
      <c r="K4" s="4"/>
      <c r="L4" s="4"/>
      <c r="M4" s="4"/>
      <c r="N4" s="4"/>
      <c r="O4" s="4"/>
    </row>
    <row r="5" customFormat="false" ht="15" hidden="false" customHeight="true" outlineLevel="0" collapsed="false">
      <c r="A5" s="29" t="s">
        <v>220</v>
      </c>
      <c r="B5" s="29"/>
      <c r="C5" s="30" t="s">
        <v>53</v>
      </c>
    </row>
    <row r="6" customFormat="false" ht="15" hidden="false" customHeight="true" outlineLevel="0" collapsed="false">
      <c r="A6" s="29" t="s">
        <v>221</v>
      </c>
      <c r="B6" s="29"/>
      <c r="C6" s="30" t="n">
        <v>28</v>
      </c>
    </row>
    <row r="7" customFormat="false" ht="15" hidden="false" customHeight="true" outlineLevel="0" collapsed="false">
      <c r="A7" s="29" t="s">
        <v>222</v>
      </c>
      <c r="B7" s="29"/>
      <c r="C7" s="30" t="n">
        <v>250000</v>
      </c>
    </row>
    <row r="8" customFormat="false" ht="15" hidden="false" customHeight="true" outlineLevel="0" collapsed="false">
      <c r="A8" s="29" t="s">
        <v>223</v>
      </c>
      <c r="B8" s="29"/>
      <c r="C8" s="30" t="s">
        <v>213</v>
      </c>
    </row>
    <row r="10" customFormat="false" ht="27.75" hidden="false" customHeight="true" outlineLevel="0" collapsed="false">
      <c r="A10" s="11" t="s">
        <v>29</v>
      </c>
      <c r="B10" s="11" t="s">
        <v>30</v>
      </c>
      <c r="C10" s="11" t="s">
        <v>224</v>
      </c>
      <c r="D10" s="11" t="s">
        <v>225</v>
      </c>
      <c r="E10" s="11" t="s">
        <v>226</v>
      </c>
      <c r="F10" s="11" t="s">
        <v>227</v>
      </c>
      <c r="G10" s="11" t="s">
        <v>228</v>
      </c>
      <c r="H10" s="11" t="s">
        <v>229</v>
      </c>
      <c r="I10" s="11" t="s">
        <v>230</v>
      </c>
      <c r="J10" s="11" t="s">
        <v>231</v>
      </c>
      <c r="K10" s="11" t="s">
        <v>232</v>
      </c>
      <c r="L10" s="11" t="s">
        <v>233</v>
      </c>
      <c r="M10" s="11" t="s">
        <v>234</v>
      </c>
      <c r="N10" s="11" t="s">
        <v>235</v>
      </c>
      <c r="O10" s="11" t="s">
        <v>236</v>
      </c>
    </row>
    <row r="11" customFormat="false" ht="15" hidden="false" customHeight="true" outlineLevel="0" collapsed="false">
      <c r="A11" s="31" t="n">
        <v>1</v>
      </c>
      <c r="B11" s="32" t="s">
        <v>40</v>
      </c>
      <c r="C11" s="32" t="s">
        <v>237</v>
      </c>
      <c r="D11" s="31" t="n">
        <v>18</v>
      </c>
      <c r="E11" s="31" t="n">
        <v>65</v>
      </c>
      <c r="F11" s="31" t="n">
        <v>99999999</v>
      </c>
      <c r="G11" s="32" t="s">
        <v>238</v>
      </c>
      <c r="H11" s="33" t="s">
        <v>239</v>
      </c>
      <c r="I11" s="31" t="n">
        <f aca="false">IF(ISNUMBER(SEARCH($C$5,C11)),4,0)</f>
        <v>4</v>
      </c>
      <c r="J11" s="31" t="n">
        <f aca="false">IF(AND($C$6&gt;=D11,$C$6&lt;=E11),2,0)</f>
        <v>2</v>
      </c>
      <c r="K11" s="31" t="n">
        <f aca="false">IF($C$7&lt;=F11,2,0)</f>
        <v>2</v>
      </c>
      <c r="L11" s="31" t="n">
        <f aca="false">IF(ISNUMBER(SEARCH($C$8,G11)),2,0)</f>
        <v>2</v>
      </c>
      <c r="M11" s="31" t="n">
        <f aca="false">IF(I11=0,0,I11+J11+K11+L11)</f>
        <v>10</v>
      </c>
      <c r="N11" s="31" t="n">
        <f aca="false">(M11/10)*100</f>
        <v>100</v>
      </c>
      <c r="O11" s="31" t="str">
        <f aca="false">IF(N11&gt;=60,"YES","NO")</f>
        <v>YES</v>
      </c>
    </row>
    <row r="12" customFormat="false" ht="21.75" hidden="false" customHeight="true" outlineLevel="0" collapsed="false">
      <c r="A12" s="34" t="n">
        <v>2</v>
      </c>
      <c r="B12" s="35" t="s">
        <v>240</v>
      </c>
      <c r="C12" s="35" t="s">
        <v>53</v>
      </c>
      <c r="D12" s="34" t="n">
        <v>18</v>
      </c>
      <c r="E12" s="34" t="n">
        <v>60</v>
      </c>
      <c r="F12" s="34" t="n">
        <v>99999999</v>
      </c>
      <c r="G12" s="35" t="s">
        <v>241</v>
      </c>
      <c r="H12" s="36" t="s">
        <v>242</v>
      </c>
      <c r="I12" s="34" t="n">
        <f aca="false">IF(ISNUMBER(SEARCH($C$5,C12)),4,0)</f>
        <v>4</v>
      </c>
      <c r="J12" s="34" t="n">
        <f aca="false">IF(AND($C$6&gt;=D12,$C$6&lt;=E12),2,0)</f>
        <v>2</v>
      </c>
      <c r="K12" s="34" t="n">
        <f aca="false">IF($C$7&lt;=F12,2,0)</f>
        <v>2</v>
      </c>
      <c r="L12" s="34" t="n">
        <f aca="false">IF(ISNUMBER(SEARCH($C$8,G12)),2,0)</f>
        <v>2</v>
      </c>
      <c r="M12" s="34" t="n">
        <f aca="false">IF(I12=0,0,I12+J12+K12+L12)</f>
        <v>10</v>
      </c>
      <c r="N12" s="34" t="n">
        <f aca="false">(M12/10)*100</f>
        <v>100</v>
      </c>
      <c r="O12" s="34" t="str">
        <f aca="false">IF(N12&gt;=60,"YES","NO")</f>
        <v>YES</v>
      </c>
    </row>
    <row r="13" customFormat="false" ht="21.75" hidden="false" customHeight="true" outlineLevel="0" collapsed="false">
      <c r="A13" s="31" t="n">
        <v>3</v>
      </c>
      <c r="B13" s="32" t="s">
        <v>59</v>
      </c>
      <c r="C13" s="32" t="s">
        <v>243</v>
      </c>
      <c r="D13" s="31" t="n">
        <v>18</v>
      </c>
      <c r="E13" s="31" t="n">
        <v>65</v>
      </c>
      <c r="F13" s="31" t="n">
        <v>99999999</v>
      </c>
      <c r="G13" s="32" t="s">
        <v>244</v>
      </c>
      <c r="H13" s="36" t="s">
        <v>242</v>
      </c>
      <c r="I13" s="31" t="n">
        <f aca="false">IF(ISNUMBER(SEARCH($C$5,C13)),4,0)</f>
        <v>4</v>
      </c>
      <c r="J13" s="31" t="n">
        <f aca="false">IF(AND($C$6&gt;=D13,$C$6&lt;=E13),2,0)</f>
        <v>2</v>
      </c>
      <c r="K13" s="31" t="n">
        <f aca="false">IF($C$7&lt;=F13,2,0)</f>
        <v>2</v>
      </c>
      <c r="L13" s="31" t="n">
        <f aca="false">IF(ISNUMBER(SEARCH($C$8,G13)),2,0)</f>
        <v>0</v>
      </c>
      <c r="M13" s="31" t="n">
        <f aca="false">IF(I13=0,0,I13+J13+K13+L13)</f>
        <v>8</v>
      </c>
      <c r="N13" s="31" t="n">
        <f aca="false">(M13/10)*100</f>
        <v>80</v>
      </c>
      <c r="O13" s="31" t="str">
        <f aca="false">IF(N13&gt;=60,"YES","NO")</f>
        <v>YES</v>
      </c>
    </row>
    <row r="14" customFormat="false" ht="21.75" hidden="false" customHeight="true" outlineLevel="0" collapsed="false">
      <c r="A14" s="34" t="n">
        <v>4</v>
      </c>
      <c r="B14" s="35" t="s">
        <v>66</v>
      </c>
      <c r="C14" s="35" t="s">
        <v>245</v>
      </c>
      <c r="D14" s="34" t="n">
        <v>18</v>
      </c>
      <c r="E14" s="34" t="n">
        <v>45</v>
      </c>
      <c r="F14" s="34" t="n">
        <v>300000</v>
      </c>
      <c r="G14" s="35" t="s">
        <v>246</v>
      </c>
      <c r="H14" s="36" t="s">
        <v>242</v>
      </c>
      <c r="I14" s="34" t="n">
        <f aca="false">IF(ISNUMBER(SEARCH($C$5,C14)),4,0)</f>
        <v>4</v>
      </c>
      <c r="J14" s="34" t="n">
        <f aca="false">IF(AND($C$6&gt;=D14,$C$6&lt;=E14),2,0)</f>
        <v>2</v>
      </c>
      <c r="K14" s="34" t="n">
        <f aca="false">IF($C$7&lt;=F14,2,0)</f>
        <v>2</v>
      </c>
      <c r="L14" s="34" t="n">
        <f aca="false">IF(ISNUMBER(SEARCH($C$8,G14)),2,0)</f>
        <v>0</v>
      </c>
      <c r="M14" s="34" t="n">
        <f aca="false">IF(I14=0,0,I14+J14+K14+L14)</f>
        <v>8</v>
      </c>
      <c r="N14" s="34" t="n">
        <f aca="false">(M14/10)*100</f>
        <v>80</v>
      </c>
      <c r="O14" s="34" t="str">
        <f aca="false">IF(N14&gt;=60,"YES","NO")</f>
        <v>YES</v>
      </c>
    </row>
    <row r="15" customFormat="false" ht="21.75" hidden="false" customHeight="true" outlineLevel="0" collapsed="false">
      <c r="A15" s="31" t="n">
        <v>5</v>
      </c>
      <c r="B15" s="32" t="s">
        <v>73</v>
      </c>
      <c r="C15" s="32" t="s">
        <v>247</v>
      </c>
      <c r="D15" s="31" t="n">
        <v>18</v>
      </c>
      <c r="E15" s="31" t="n">
        <v>55</v>
      </c>
      <c r="F15" s="31" t="n">
        <v>250000</v>
      </c>
      <c r="G15" s="32" t="s">
        <v>238</v>
      </c>
      <c r="H15" s="36" t="s">
        <v>242</v>
      </c>
      <c r="I15" s="31" t="n">
        <f aca="false">IF(ISNUMBER(SEARCH($C$5,C15)),4,0)</f>
        <v>0</v>
      </c>
      <c r="J15" s="31" t="n">
        <f aca="false">IF(AND($C$6&gt;=D15,$C$6&lt;=E15),2,0)</f>
        <v>2</v>
      </c>
      <c r="K15" s="31" t="n">
        <f aca="false">IF($C$7&lt;=F15,2,0)</f>
        <v>2</v>
      </c>
      <c r="L15" s="31" t="n">
        <f aca="false">IF(ISNUMBER(SEARCH($C$8,G15)),2,0)</f>
        <v>2</v>
      </c>
      <c r="M15" s="31" t="n">
        <f aca="false">IF(I15=0,0,I15+J15+K15+L15)</f>
        <v>0</v>
      </c>
      <c r="N15" s="31" t="n">
        <f aca="false">(M15/10)*100</f>
        <v>0</v>
      </c>
      <c r="O15" s="31" t="str">
        <f aca="false">IF(N15&gt;=60,"YES","NO")</f>
        <v>NO</v>
      </c>
    </row>
    <row r="16" customFormat="false" ht="23.25" hidden="false" customHeight="true" outlineLevel="0" collapsed="false">
      <c r="A16" s="34" t="n">
        <v>6</v>
      </c>
      <c r="B16" s="35" t="s">
        <v>248</v>
      </c>
      <c r="C16" s="35" t="s">
        <v>53</v>
      </c>
      <c r="D16" s="34" t="n">
        <v>18</v>
      </c>
      <c r="E16" s="34" t="n">
        <v>35</v>
      </c>
      <c r="F16" s="34" t="n">
        <v>99999999</v>
      </c>
      <c r="G16" s="35" t="s">
        <v>246</v>
      </c>
      <c r="H16" s="36" t="s">
        <v>242</v>
      </c>
      <c r="I16" s="34" t="n">
        <f aca="false">IF(ISNUMBER(SEARCH($C$5,C16)),4,0)</f>
        <v>4</v>
      </c>
      <c r="J16" s="34" t="n">
        <f aca="false">IF(AND($C$6&gt;=D16,$C$6&lt;=E16),2,0)</f>
        <v>2</v>
      </c>
      <c r="K16" s="34" t="n">
        <f aca="false">IF($C$7&lt;=F16,2,0)</f>
        <v>2</v>
      </c>
      <c r="L16" s="34" t="n">
        <f aca="false">IF(ISNUMBER(SEARCH($C$8,G16)),2,0)</f>
        <v>0</v>
      </c>
      <c r="M16" s="34" t="n">
        <f aca="false">IF(I16=0,0,I16+J16+K16+L16)</f>
        <v>8</v>
      </c>
      <c r="N16" s="34" t="n">
        <f aca="false">(M16/10)*100</f>
        <v>80</v>
      </c>
      <c r="O16" s="34" t="str">
        <f aca="false">IF(N16&gt;=60,"YES","NO")</f>
        <v>YES</v>
      </c>
    </row>
    <row r="17" customFormat="false" ht="23.25" hidden="false" customHeight="true" outlineLevel="0" collapsed="false">
      <c r="A17" s="31" t="n">
        <v>7</v>
      </c>
      <c r="B17" s="32" t="s">
        <v>86</v>
      </c>
      <c r="C17" s="32" t="s">
        <v>249</v>
      </c>
      <c r="D17" s="31" t="n">
        <v>18</v>
      </c>
      <c r="E17" s="31" t="n">
        <v>60</v>
      </c>
      <c r="F17" s="31" t="n">
        <v>200000</v>
      </c>
      <c r="G17" s="32" t="s">
        <v>241</v>
      </c>
      <c r="H17" s="36" t="s">
        <v>242</v>
      </c>
      <c r="I17" s="31" t="n">
        <f aca="false">IF(ISNUMBER(SEARCH($C$5,C17)),4,0)</f>
        <v>0</v>
      </c>
      <c r="J17" s="31" t="n">
        <f aca="false">IF(AND($C$6&gt;=D17,$C$6&lt;=E17),2,0)</f>
        <v>2</v>
      </c>
      <c r="K17" s="31" t="n">
        <f aca="false">IF($C$7&lt;=F17,2,0)</f>
        <v>0</v>
      </c>
      <c r="L17" s="31" t="n">
        <f aca="false">IF(ISNUMBER(SEARCH($C$8,G17)),2,0)</f>
        <v>2</v>
      </c>
      <c r="M17" s="31" t="n">
        <f aca="false">IF(I17=0,0,I17+J17+K17+L17)</f>
        <v>0</v>
      </c>
      <c r="N17" s="31" t="n">
        <f aca="false">(M17/10)*100</f>
        <v>0</v>
      </c>
      <c r="O17" s="31" t="str">
        <f aca="false">IF(N17&gt;=60,"YES","NO")</f>
        <v>NO</v>
      </c>
    </row>
    <row r="18" customFormat="false" ht="21.75" hidden="false" customHeight="true" outlineLevel="0" collapsed="false">
      <c r="A18" s="34" t="n">
        <v>8</v>
      </c>
      <c r="B18" s="35" t="s">
        <v>250</v>
      </c>
      <c r="C18" s="35" t="s">
        <v>53</v>
      </c>
      <c r="D18" s="34" t="n">
        <v>18</v>
      </c>
      <c r="E18" s="34" t="n">
        <v>65</v>
      </c>
      <c r="F18" s="34" t="n">
        <v>99999999</v>
      </c>
      <c r="G18" s="35" t="s">
        <v>244</v>
      </c>
      <c r="H18" s="36" t="s">
        <v>242</v>
      </c>
      <c r="I18" s="34" t="n">
        <f aca="false">IF(ISNUMBER(SEARCH($C$5,C18)),4,0)</f>
        <v>4</v>
      </c>
      <c r="J18" s="34" t="n">
        <f aca="false">IF(AND($C$6&gt;=D18,$C$6&lt;=E18),2,0)</f>
        <v>2</v>
      </c>
      <c r="K18" s="34" t="n">
        <f aca="false">IF($C$7&lt;=F18,2,0)</f>
        <v>2</v>
      </c>
      <c r="L18" s="34" t="n">
        <f aca="false">IF(ISNUMBER(SEARCH($C$8,G18)),2,0)</f>
        <v>0</v>
      </c>
      <c r="M18" s="34" t="n">
        <f aca="false">IF(I18=0,0,I18+J18+K18+L18)</f>
        <v>8</v>
      </c>
      <c r="N18" s="34" t="n">
        <f aca="false">(M18/10)*100</f>
        <v>80</v>
      </c>
      <c r="O18" s="34" t="str">
        <f aca="false">IF(N18&gt;=60,"YES","NO")</f>
        <v>YES</v>
      </c>
    </row>
    <row r="19" customFormat="false" ht="21.75" hidden="false" customHeight="true" outlineLevel="0" collapsed="false">
      <c r="A19" s="31" t="n">
        <v>9</v>
      </c>
      <c r="B19" s="32" t="s">
        <v>98</v>
      </c>
      <c r="C19" s="32" t="s">
        <v>251</v>
      </c>
      <c r="D19" s="31" t="n">
        <v>18</v>
      </c>
      <c r="E19" s="31" t="n">
        <v>60</v>
      </c>
      <c r="F19" s="31" t="n">
        <v>300000</v>
      </c>
      <c r="G19" s="32" t="s">
        <v>238</v>
      </c>
      <c r="H19" s="36" t="s">
        <v>242</v>
      </c>
      <c r="I19" s="31" t="n">
        <f aca="false">IF(ISNUMBER(SEARCH($C$5,C19)),4,0)</f>
        <v>0</v>
      </c>
      <c r="J19" s="31" t="n">
        <f aca="false">IF(AND($C$6&gt;=D19,$C$6&lt;=E19),2,0)</f>
        <v>2</v>
      </c>
      <c r="K19" s="31" t="n">
        <f aca="false">IF($C$7&lt;=F19,2,0)</f>
        <v>2</v>
      </c>
      <c r="L19" s="31" t="n">
        <f aca="false">IF(ISNUMBER(SEARCH($C$8,G19)),2,0)</f>
        <v>2</v>
      </c>
      <c r="M19" s="31" t="n">
        <f aca="false">IF(I19=0,0,I19+J19+K19+L19)</f>
        <v>0</v>
      </c>
      <c r="N19" s="31" t="n">
        <f aca="false">(M19/10)*100</f>
        <v>0</v>
      </c>
      <c r="O19" s="31" t="str">
        <f aca="false">IF(N19&gt;=60,"YES","NO")</f>
        <v>NO</v>
      </c>
    </row>
    <row r="20" customFormat="false" ht="21.75" hidden="false" customHeight="true" outlineLevel="0" collapsed="false">
      <c r="A20" s="34" t="n">
        <v>10</v>
      </c>
      <c r="B20" s="35" t="s">
        <v>104</v>
      </c>
      <c r="C20" s="35" t="s">
        <v>252</v>
      </c>
      <c r="D20" s="34" t="n">
        <v>18</v>
      </c>
      <c r="E20" s="34" t="n">
        <v>55</v>
      </c>
      <c r="F20" s="34" t="n">
        <v>250000</v>
      </c>
      <c r="G20" s="35" t="s">
        <v>241</v>
      </c>
      <c r="H20" s="36" t="s">
        <v>242</v>
      </c>
      <c r="I20" s="34" t="n">
        <f aca="false">IF(ISNUMBER(SEARCH($C$5,C20)),4,0)</f>
        <v>4</v>
      </c>
      <c r="J20" s="34" t="n">
        <f aca="false">IF(AND($C$6&gt;=D20,$C$6&lt;=E20),2,0)</f>
        <v>2</v>
      </c>
      <c r="K20" s="34" t="n">
        <f aca="false">IF($C$7&lt;=F20,2,0)</f>
        <v>2</v>
      </c>
      <c r="L20" s="34" t="n">
        <f aca="false">IF(ISNUMBER(SEARCH($C$8,G20)),2,0)</f>
        <v>2</v>
      </c>
      <c r="M20" s="34" t="n">
        <f aca="false">IF(I20=0,0,I20+J20+K20+L20)</f>
        <v>10</v>
      </c>
      <c r="N20" s="34" t="n">
        <f aca="false">(M20/10)*100</f>
        <v>100</v>
      </c>
      <c r="O20" s="34" t="str">
        <f aca="false">IF(N20&gt;=60,"YES","NO")</f>
        <v>YES</v>
      </c>
    </row>
    <row r="21" customFormat="false" ht="15" hidden="false" customHeight="true" outlineLevel="0" collapsed="false">
      <c r="A21" s="31" t="n">
        <v>11</v>
      </c>
      <c r="B21" s="32" t="s">
        <v>253</v>
      </c>
      <c r="C21" s="32" t="s">
        <v>254</v>
      </c>
      <c r="D21" s="31" t="n">
        <v>15</v>
      </c>
      <c r="E21" s="31" t="n">
        <v>35</v>
      </c>
      <c r="F21" s="31" t="n">
        <v>800000</v>
      </c>
      <c r="G21" s="32" t="s">
        <v>246</v>
      </c>
      <c r="H21" s="33" t="s">
        <v>239</v>
      </c>
      <c r="I21" s="31" t="n">
        <f aca="false">IF(ISNUMBER(SEARCH($C$5,C21)),4,0)</f>
        <v>4</v>
      </c>
      <c r="J21" s="31" t="n">
        <f aca="false">IF(AND($C$6&gt;=D21,$C$6&lt;=E21),2,0)</f>
        <v>2</v>
      </c>
      <c r="K21" s="31" t="n">
        <f aca="false">IF($C$7&lt;=F21,2,0)</f>
        <v>2</v>
      </c>
      <c r="L21" s="31" t="n">
        <f aca="false">IF(ISNUMBER(SEARCH($C$8,G21)),2,0)</f>
        <v>0</v>
      </c>
      <c r="M21" s="31" t="n">
        <f aca="false">IF(I21=0,0,I21+J21+K21+L21)</f>
        <v>8</v>
      </c>
      <c r="N21" s="31" t="n">
        <f aca="false">(M21/10)*100</f>
        <v>80</v>
      </c>
      <c r="O21" s="31" t="str">
        <f aca="false">IF(N21&gt;=60,"YES","NO")</f>
        <v>YES</v>
      </c>
    </row>
    <row r="23" customFormat="false" ht="15" hidden="false" customHeight="true" outlineLevel="0" collapsed="false">
      <c r="A23" s="37" t="s">
        <v>255</v>
      </c>
      <c r="B23" s="37"/>
      <c r="C23" s="37"/>
      <c r="D23" s="37"/>
      <c r="E23" s="37"/>
      <c r="F23" s="37"/>
      <c r="G23" s="37"/>
      <c r="H23" s="37"/>
      <c r="I23" s="37"/>
      <c r="J23" s="37"/>
      <c r="K23" s="37"/>
      <c r="L23" s="37"/>
      <c r="M23" s="37"/>
      <c r="N23" s="37"/>
      <c r="O23" s="37"/>
    </row>
    <row r="24" customFormat="false" ht="15" hidden="false" customHeight="true" outlineLevel="0" collapsed="false">
      <c r="A24" s="37" t="s">
        <v>256</v>
      </c>
      <c r="B24" s="37"/>
      <c r="C24" s="37"/>
      <c r="D24" s="37"/>
      <c r="E24" s="37"/>
      <c r="F24" s="37"/>
      <c r="G24" s="37"/>
      <c r="H24" s="37"/>
      <c r="I24" s="37"/>
      <c r="J24" s="37"/>
      <c r="K24" s="37"/>
      <c r="L24" s="37"/>
      <c r="M24" s="37"/>
      <c r="N24" s="37"/>
      <c r="O24" s="37"/>
    </row>
    <row r="25" customFormat="false" ht="15" hidden="false" customHeight="true" outlineLevel="0" collapsed="false">
      <c r="A25" s="37" t="s">
        <v>257</v>
      </c>
      <c r="B25" s="37"/>
      <c r="C25" s="37"/>
      <c r="D25" s="37"/>
      <c r="E25" s="37"/>
      <c r="F25" s="37"/>
      <c r="G25" s="37"/>
      <c r="H25" s="37"/>
      <c r="I25" s="37"/>
      <c r="J25" s="37"/>
      <c r="K25" s="37"/>
      <c r="L25" s="37"/>
      <c r="M25" s="37"/>
      <c r="N25" s="37"/>
      <c r="O25" s="37"/>
    </row>
    <row r="26" customFormat="false" ht="15" hidden="false" customHeight="true" outlineLevel="0" collapsed="false">
      <c r="A26" s="37" t="s">
        <v>258</v>
      </c>
      <c r="B26" s="37"/>
      <c r="C26" s="37"/>
      <c r="D26" s="37"/>
      <c r="E26" s="37"/>
      <c r="F26" s="37"/>
      <c r="G26" s="37"/>
      <c r="H26" s="37"/>
      <c r="I26" s="37"/>
      <c r="J26" s="37"/>
      <c r="K26" s="37"/>
      <c r="L26" s="37"/>
      <c r="M26" s="37"/>
      <c r="N26" s="37"/>
      <c r="O26" s="37"/>
    </row>
  </sheetData>
  <mergeCells count="11">
    <mergeCell ref="A1:O1"/>
    <mergeCell ref="A2:O2"/>
    <mergeCell ref="A4:O4"/>
    <mergeCell ref="A5:B5"/>
    <mergeCell ref="A6:B6"/>
    <mergeCell ref="A7:B7"/>
    <mergeCell ref="A8:B8"/>
    <mergeCell ref="A23:O23"/>
    <mergeCell ref="A24:O24"/>
    <mergeCell ref="A25:O25"/>
    <mergeCell ref="A26:O26"/>
  </mergeCells>
  <conditionalFormatting sqref="O11:O21">
    <cfRule type="expression" priority="2" aboveAverage="0" equalAverage="0" bottom="0" percent="0" rank="0" text="" dxfId="0">
      <formula>O11="YES"</formula>
    </cfRule>
    <cfRule type="expression" priority="3" aboveAverage="0" equalAverage="0" bottom="0" percent="0" rank="0" text="" dxfId="1">
      <formula>O11="NO"</formula>
    </cfRule>
  </conditionalFormatting>
  <printOptions headings="false" gridLines="false" gridLinesSet="true" horizontalCentered="false" verticalCentered="false"/>
  <pageMargins left="0.3" right="0.3" top="0.4" bottom="0.4"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030A0"/>
    <pageSetUpPr fitToPage="true"/>
  </sheetPr>
  <dimension ref="A1:G11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4"/>
    <col collapsed="false" customWidth="true" hidden="false" outlineLevel="0" max="2" min="2" style="1" width="42"/>
    <col collapsed="false" customWidth="true" hidden="false" outlineLevel="0" max="7" min="3" style="1" width="16"/>
  </cols>
  <sheetData>
    <row r="1" customFormat="false" ht="31.5" hidden="false" customHeight="true" outlineLevel="0" collapsed="false">
      <c r="A1" s="2" t="s">
        <v>259</v>
      </c>
      <c r="B1" s="2"/>
      <c r="C1" s="2"/>
      <c r="D1" s="2"/>
      <c r="E1" s="2"/>
      <c r="F1" s="2"/>
      <c r="G1" s="2"/>
    </row>
    <row r="2" customFormat="false" ht="15.75" hidden="false" customHeight="true" outlineLevel="0" collapsed="false">
      <c r="A2" s="3" t="s">
        <v>260</v>
      </c>
      <c r="B2" s="3"/>
      <c r="C2" s="3"/>
      <c r="D2" s="3"/>
      <c r="E2" s="3"/>
      <c r="F2" s="3"/>
      <c r="G2" s="3"/>
    </row>
    <row r="4" customFormat="false" ht="21.75" hidden="false" customHeight="true" outlineLevel="0" collapsed="false">
      <c r="A4" s="4" t="s">
        <v>261</v>
      </c>
      <c r="B4" s="4"/>
      <c r="C4" s="4"/>
      <c r="D4" s="4"/>
      <c r="E4" s="4"/>
      <c r="F4" s="4"/>
      <c r="G4" s="4"/>
    </row>
    <row r="6" customFormat="false" ht="15" hidden="false" customHeight="true" outlineLevel="0" collapsed="false">
      <c r="A6" s="10" t="s">
        <v>262</v>
      </c>
    </row>
    <row r="7" customFormat="false" ht="15" hidden="false" customHeight="true" outlineLevel="0" collapsed="false">
      <c r="A7" s="38" t="s">
        <v>263</v>
      </c>
    </row>
    <row r="8" customFormat="false" ht="15" hidden="false" customHeight="true" outlineLevel="0" collapsed="false">
      <c r="A8" s="38" t="s">
        <v>264</v>
      </c>
    </row>
    <row r="9" customFormat="false" ht="15" hidden="false" customHeight="true" outlineLevel="0" collapsed="false">
      <c r="A9" s="38" t="s">
        <v>265</v>
      </c>
    </row>
    <row r="11" customFormat="false" ht="15" hidden="false" customHeight="true" outlineLevel="0" collapsed="false">
      <c r="A11" s="10" t="s">
        <v>266</v>
      </c>
    </row>
    <row r="12" customFormat="false" ht="25.5" hidden="false" customHeight="true" outlineLevel="0" collapsed="false">
      <c r="A12" s="11" t="s">
        <v>175</v>
      </c>
      <c r="B12" s="11" t="s">
        <v>267</v>
      </c>
      <c r="C12" s="11" t="s">
        <v>268</v>
      </c>
    </row>
    <row r="13" customFormat="false" ht="30" hidden="false" customHeight="true" outlineLevel="0" collapsed="false">
      <c r="A13" s="20" t="s">
        <v>206</v>
      </c>
      <c r="B13" s="39" t="s">
        <v>269</v>
      </c>
      <c r="C13" s="20" t="s">
        <v>270</v>
      </c>
    </row>
    <row r="14" customFormat="false" ht="30" hidden="false" customHeight="true" outlineLevel="0" collapsed="false">
      <c r="A14" s="22" t="s">
        <v>184</v>
      </c>
      <c r="B14" s="40" t="s">
        <v>271</v>
      </c>
      <c r="C14" s="22" t="s">
        <v>272</v>
      </c>
    </row>
    <row r="15" customFormat="false" ht="30" hidden="false" customHeight="true" outlineLevel="0" collapsed="false">
      <c r="A15" s="20" t="s">
        <v>188</v>
      </c>
      <c r="B15" s="39" t="s">
        <v>273</v>
      </c>
      <c r="C15" s="20" t="s">
        <v>272</v>
      </c>
    </row>
    <row r="16" customFormat="false" ht="30" hidden="false" customHeight="true" outlineLevel="0" collapsed="false">
      <c r="A16" s="22" t="s">
        <v>212</v>
      </c>
      <c r="B16" s="40" t="s">
        <v>274</v>
      </c>
      <c r="C16" s="22" t="s">
        <v>272</v>
      </c>
    </row>
    <row r="17" customFormat="false" ht="30" hidden="false" customHeight="true" outlineLevel="0" collapsed="false">
      <c r="A17" s="20" t="s">
        <v>275</v>
      </c>
      <c r="B17" s="39" t="s">
        <v>276</v>
      </c>
      <c r="C17" s="20" t="s">
        <v>277</v>
      </c>
    </row>
    <row r="18" customFormat="false" ht="30" hidden="false" customHeight="true" outlineLevel="0" collapsed="false">
      <c r="A18" s="22" t="s">
        <v>235</v>
      </c>
      <c r="B18" s="40" t="s">
        <v>278</v>
      </c>
      <c r="C18" s="22" t="s">
        <v>279</v>
      </c>
    </row>
    <row r="19" customFormat="false" ht="30" hidden="false" customHeight="true" outlineLevel="0" collapsed="false">
      <c r="A19" s="20" t="s">
        <v>280</v>
      </c>
      <c r="B19" s="39" t="s">
        <v>281</v>
      </c>
      <c r="C19" s="20" t="s">
        <v>282</v>
      </c>
    </row>
    <row r="21" customFormat="false" ht="15" hidden="false" customHeight="true" outlineLevel="0" collapsed="false">
      <c r="A21" s="41" t="s">
        <v>283</v>
      </c>
    </row>
    <row r="23" customFormat="false" ht="21.75" hidden="false" customHeight="true" outlineLevel="0" collapsed="false">
      <c r="A23" s="4" t="s">
        <v>284</v>
      </c>
      <c r="B23" s="4"/>
      <c r="C23" s="4"/>
      <c r="D23" s="4"/>
      <c r="E23" s="4"/>
      <c r="F23" s="4"/>
      <c r="G23" s="4"/>
    </row>
    <row r="25" customFormat="false" ht="15" hidden="false" customHeight="true" outlineLevel="0" collapsed="false">
      <c r="A25" s="5" t="s">
        <v>285</v>
      </c>
      <c r="B25" s="5"/>
      <c r="C25" s="5"/>
      <c r="D25" s="5"/>
      <c r="E25" s="5"/>
      <c r="F25" s="5"/>
      <c r="G25" s="5"/>
    </row>
    <row r="27" customFormat="false" ht="15" hidden="false" customHeight="true" outlineLevel="0" collapsed="false">
      <c r="A27" s="38" t="s">
        <v>286</v>
      </c>
    </row>
    <row r="28" customFormat="false" ht="15" hidden="false" customHeight="true" outlineLevel="0" collapsed="false">
      <c r="A28" s="38" t="s">
        <v>287</v>
      </c>
    </row>
    <row r="30" customFormat="false" ht="15" hidden="false" customHeight="true" outlineLevel="0" collapsed="false">
      <c r="A30" s="10" t="s">
        <v>288</v>
      </c>
    </row>
    <row r="31" customFormat="false" ht="25.5" hidden="false" customHeight="true" outlineLevel="0" collapsed="false">
      <c r="A31" s="11" t="s">
        <v>289</v>
      </c>
      <c r="B31" s="11" t="s">
        <v>290</v>
      </c>
      <c r="C31" s="11" t="s">
        <v>291</v>
      </c>
      <c r="D31" s="11" t="s">
        <v>292</v>
      </c>
      <c r="E31" s="11" t="s">
        <v>293</v>
      </c>
    </row>
    <row r="32" customFormat="false" ht="15" hidden="false" customHeight="true" outlineLevel="0" collapsed="false">
      <c r="A32" s="42" t="s">
        <v>294</v>
      </c>
      <c r="B32" s="42" t="s">
        <v>295</v>
      </c>
      <c r="C32" s="42" t="str">
        <f aca="false">A32&amp;"-"&amp;B32</f>
        <v>APP-1001-SUI-01</v>
      </c>
      <c r="D32" s="42" t="n">
        <f aca="false">COUNTIF($C$32:$C$35,C32)</f>
        <v>2</v>
      </c>
      <c r="E32" s="42" t="str">
        <f aca="false">IF(D32&gt;1,"⚠ DUPLICATE","OK")</f>
        <v>⚠ DUPLICATE</v>
      </c>
    </row>
    <row r="33" customFormat="false" ht="15" hidden="false" customHeight="true" outlineLevel="0" collapsed="false">
      <c r="A33" s="43" t="s">
        <v>296</v>
      </c>
      <c r="B33" s="43" t="s">
        <v>295</v>
      </c>
      <c r="C33" s="43" t="str">
        <f aca="false">A33&amp;"-"&amp;B33</f>
        <v>APP-1002-SUI-01</v>
      </c>
      <c r="D33" s="43" t="n">
        <f aca="false">COUNTIF($C$32:$C$35,C33)</f>
        <v>1</v>
      </c>
      <c r="E33" s="43" t="str">
        <f aca="false">IF(D33&gt;1,"⚠ DUPLICATE","OK")</f>
        <v>OK</v>
      </c>
    </row>
    <row r="34" customFormat="false" ht="15" hidden="false" customHeight="true" outlineLevel="0" collapsed="false">
      <c r="A34" s="42" t="s">
        <v>294</v>
      </c>
      <c r="B34" s="42" t="s">
        <v>295</v>
      </c>
      <c r="C34" s="42" t="str">
        <f aca="false">A34&amp;"-"&amp;B34</f>
        <v>APP-1001-SUI-01</v>
      </c>
      <c r="D34" s="42" t="n">
        <f aca="false">COUNTIF($C$32:$C$35,C34)</f>
        <v>2</v>
      </c>
      <c r="E34" s="42" t="str">
        <f aca="false">IF(D34&gt;1,"⚠ DUPLICATE","OK")</f>
        <v>⚠ DUPLICATE</v>
      </c>
    </row>
    <row r="35" customFormat="false" ht="15" hidden="false" customHeight="true" outlineLevel="0" collapsed="false">
      <c r="A35" s="43" t="s">
        <v>297</v>
      </c>
      <c r="B35" s="43" t="s">
        <v>298</v>
      </c>
      <c r="C35" s="43" t="str">
        <f aca="false">A35&amp;"-"&amp;B35</f>
        <v>APP-1003-PDK-04</v>
      </c>
      <c r="D35" s="43" t="n">
        <f aca="false">COUNTIF($C$32:$C$35,C35)</f>
        <v>1</v>
      </c>
      <c r="E35" s="43" t="str">
        <f aca="false">IF(D35&gt;1,"⚠ DUPLICATE","OK")</f>
        <v>OK</v>
      </c>
    </row>
    <row r="37" customFormat="false" ht="15" hidden="false" customHeight="true" outlineLevel="0" collapsed="false">
      <c r="A37" s="44" t="s">
        <v>299</v>
      </c>
      <c r="B37" s="44"/>
      <c r="C37" s="44"/>
      <c r="D37" s="44"/>
      <c r="E37" s="44"/>
      <c r="F37" s="44"/>
      <c r="G37" s="44"/>
    </row>
    <row r="39" customFormat="false" ht="21.75" hidden="false" customHeight="true" outlineLevel="0" collapsed="false">
      <c r="A39" s="4" t="s">
        <v>300</v>
      </c>
      <c r="B39" s="4"/>
      <c r="C39" s="4"/>
      <c r="D39" s="4"/>
      <c r="E39" s="4"/>
      <c r="F39" s="4"/>
      <c r="G39" s="4"/>
    </row>
    <row r="41" customFormat="false" ht="15" hidden="false" customHeight="true" outlineLevel="0" collapsed="false">
      <c r="A41" s="38" t="s">
        <v>301</v>
      </c>
    </row>
    <row r="43" customFormat="false" ht="25.5" hidden="false" customHeight="true" outlineLevel="0" collapsed="false">
      <c r="A43" s="11" t="s">
        <v>302</v>
      </c>
      <c r="B43" s="11" t="s">
        <v>303</v>
      </c>
      <c r="C43" s="11" t="s">
        <v>304</v>
      </c>
    </row>
    <row r="44" customFormat="false" ht="15" hidden="false" customHeight="true" outlineLevel="0" collapsed="false">
      <c r="A44" s="45" t="s">
        <v>305</v>
      </c>
      <c r="B44" s="30" t="n">
        <v>1</v>
      </c>
      <c r="C44" s="42"/>
    </row>
    <row r="45" customFormat="false" ht="15" hidden="false" customHeight="true" outlineLevel="0" collapsed="false">
      <c r="A45" s="46" t="s">
        <v>306</v>
      </c>
      <c r="B45" s="30" t="n">
        <v>1</v>
      </c>
      <c r="C45" s="43"/>
    </row>
    <row r="46" customFormat="false" ht="15" hidden="false" customHeight="true" outlineLevel="0" collapsed="false">
      <c r="A46" s="45" t="s">
        <v>307</v>
      </c>
      <c r="B46" s="30" t="n">
        <v>1</v>
      </c>
      <c r="C46" s="42"/>
    </row>
    <row r="47" customFormat="false" ht="15" hidden="false" customHeight="true" outlineLevel="0" collapsed="false">
      <c r="A47" s="46" t="s">
        <v>308</v>
      </c>
      <c r="B47" s="30" t="n">
        <v>0</v>
      </c>
      <c r="C47" s="43"/>
    </row>
    <row r="48" customFormat="false" ht="15" hidden="false" customHeight="true" outlineLevel="0" collapsed="false">
      <c r="A48" s="45" t="s">
        <v>309</v>
      </c>
      <c r="B48" s="30" t="n">
        <v>1</v>
      </c>
      <c r="C48" s="42"/>
    </row>
    <row r="49" customFormat="false" ht="15" hidden="false" customHeight="true" outlineLevel="0" collapsed="false">
      <c r="A49" s="28" t="s">
        <v>310</v>
      </c>
      <c r="B49" s="47" t="n">
        <f aca="false">(SUM(B44:B48)/COUNTA(A44:A48))*100</f>
        <v>80</v>
      </c>
      <c r="C49" s="6"/>
    </row>
    <row r="51" customFormat="false" ht="21.75" hidden="false" customHeight="true" outlineLevel="0" collapsed="false">
      <c r="A51" s="4" t="s">
        <v>311</v>
      </c>
      <c r="B51" s="4"/>
      <c r="C51" s="4"/>
      <c r="D51" s="4"/>
      <c r="E51" s="4"/>
      <c r="F51" s="4"/>
      <c r="G51" s="4"/>
    </row>
    <row r="53" customFormat="false" ht="15" hidden="false" customHeight="true" outlineLevel="0" collapsed="false">
      <c r="A53" s="38" t="s">
        <v>312</v>
      </c>
    </row>
    <row r="55" customFormat="false" ht="15" hidden="false" customHeight="true" outlineLevel="0" collapsed="false">
      <c r="A55" s="10" t="s">
        <v>313</v>
      </c>
    </row>
    <row r="56" customFormat="false" ht="15" hidden="false" customHeight="true" outlineLevel="0" collapsed="false">
      <c r="A56" s="5" t="s">
        <v>314</v>
      </c>
      <c r="B56" s="5"/>
      <c r="C56" s="5"/>
      <c r="D56" s="5"/>
      <c r="E56" s="5"/>
      <c r="F56" s="5"/>
      <c r="G56" s="5"/>
    </row>
    <row r="58" customFormat="false" ht="25.5" hidden="false" customHeight="true" outlineLevel="0" collapsed="false">
      <c r="A58" s="11" t="s">
        <v>315</v>
      </c>
      <c r="B58" s="11" t="s">
        <v>316</v>
      </c>
      <c r="C58" s="11" t="s">
        <v>317</v>
      </c>
      <c r="D58" s="11" t="s">
        <v>318</v>
      </c>
    </row>
    <row r="59" customFormat="false" ht="15" hidden="false" customHeight="true" outlineLevel="0" collapsed="false">
      <c r="A59" s="31" t="s">
        <v>319</v>
      </c>
      <c r="B59" s="32" t="s">
        <v>320</v>
      </c>
      <c r="C59" s="31" t="str">
        <f aca="false">IF(OR(ISNUMBER(SEARCH("Incomplete documents",B59)),ISNUMBER(SEARCH("Exceeds income limit",B59)),ISNUMBER(SEARCH("Invalid business plan",B59))),"Valid","⚠ Invalid")</f>
        <v>Valid</v>
      </c>
      <c r="D59" s="31" t="str">
        <f aca="false">IF(C59="Valid","Reapply with fix","Escalate to Nodal Officer")</f>
        <v>Reapply with fix</v>
      </c>
    </row>
    <row r="60" customFormat="false" ht="23.25" hidden="false" customHeight="true" outlineLevel="0" collapsed="false">
      <c r="A60" s="34" t="s">
        <v>321</v>
      </c>
      <c r="B60" s="35" t="s">
        <v>322</v>
      </c>
      <c r="C60" s="34" t="str">
        <f aca="false">IF(OR(ISNUMBER(SEARCH("Incomplete documents",B60)),ISNUMBER(SEARCH("Exceeds income limit",B60)),ISNUMBER(SEARCH("Invalid business plan",B60))),"Valid","⚠ Invalid")</f>
        <v>⚠ Invalid</v>
      </c>
      <c r="D60" s="34" t="str">
        <f aca="false">IF(C60="Valid","Reapply with fix","Escalate to Nodal Officer")</f>
        <v>Escalate to Nodal Officer</v>
      </c>
    </row>
    <row r="61" customFormat="false" ht="15" hidden="false" customHeight="true" outlineLevel="0" collapsed="false">
      <c r="A61" s="31" t="s">
        <v>323</v>
      </c>
      <c r="B61" s="32" t="s">
        <v>324</v>
      </c>
      <c r="C61" s="31" t="str">
        <f aca="false">IF(OR(ISNUMBER(SEARCH("Incomplete documents",B61)),ISNUMBER(SEARCH("Exceeds income limit",B61)),ISNUMBER(SEARCH("Invalid business plan",B61))),"Valid","⚠ Invalid")</f>
        <v>Valid</v>
      </c>
      <c r="D61" s="31" t="str">
        <f aca="false">IF(C61="Valid","Reapply with fix","Escalate to Nodal Officer")</f>
        <v>Reapply with fix</v>
      </c>
    </row>
    <row r="63" customFormat="false" ht="15" hidden="false" customHeight="true" outlineLevel="0" collapsed="false">
      <c r="A63" s="44" t="s">
        <v>325</v>
      </c>
      <c r="B63" s="44"/>
      <c r="C63" s="44"/>
      <c r="D63" s="44"/>
      <c r="E63" s="44"/>
      <c r="F63" s="44"/>
      <c r="G63" s="44"/>
    </row>
    <row r="65" customFormat="false" ht="21.75" hidden="false" customHeight="true" outlineLevel="0" collapsed="false">
      <c r="A65" s="4" t="s">
        <v>326</v>
      </c>
      <c r="B65" s="4"/>
      <c r="C65" s="4"/>
      <c r="D65" s="4"/>
      <c r="E65" s="4"/>
      <c r="F65" s="4"/>
      <c r="G65" s="4"/>
    </row>
    <row r="67" customFormat="false" ht="15" hidden="false" customHeight="true" outlineLevel="0" collapsed="false">
      <c r="A67" s="38" t="s">
        <v>327</v>
      </c>
    </row>
    <row r="68" customFormat="false" ht="15" hidden="false" customHeight="true" outlineLevel="0" collapsed="false">
      <c r="A68" s="38" t="s">
        <v>328</v>
      </c>
    </row>
    <row r="70" customFormat="false" ht="15" hidden="false" customHeight="true" outlineLevel="0" collapsed="false">
      <c r="A70" s="10" t="s">
        <v>329</v>
      </c>
    </row>
    <row r="71" customFormat="false" ht="25.5" hidden="false" customHeight="true" outlineLevel="0" collapsed="false">
      <c r="A71" s="11" t="s">
        <v>330</v>
      </c>
      <c r="B71" s="11" t="s">
        <v>235</v>
      </c>
      <c r="C71" s="11" t="s">
        <v>331</v>
      </c>
    </row>
    <row r="72" customFormat="false" ht="15" hidden="false" customHeight="true" outlineLevel="0" collapsed="false">
      <c r="A72" s="45" t="str">
        <f aca="false">'Match Calculator'!B11</f>
        <v>Stand-Up India</v>
      </c>
      <c r="B72" s="42" t="n">
        <f aca="false">'Match Calculator'!N11</f>
        <v>100</v>
      </c>
      <c r="C72" s="42" t="n">
        <f aca="false">RANK(B72,$B$72:$B$82,0)</f>
        <v>1</v>
      </c>
    </row>
    <row r="73" customFormat="false" ht="15" hidden="false" customHeight="true" outlineLevel="0" collapsed="false">
      <c r="A73" s="46" t="str">
        <f aca="false">'Match Calculator'!B12</f>
        <v>Venture Capital Fund for SC (VCF-SC)</v>
      </c>
      <c r="B73" s="43" t="n">
        <f aca="false">'Match Calculator'!N12</f>
        <v>100</v>
      </c>
      <c r="C73" s="43" t="n">
        <f aca="false">RANK(B73,$B$72:$B$82,0)</f>
        <v>1</v>
      </c>
    </row>
    <row r="74" customFormat="false" ht="15" hidden="false" customHeight="true" outlineLevel="0" collapsed="false">
      <c r="A74" s="45" t="str">
        <f aca="false">'Match Calculator'!B13</f>
        <v>National SC-ST Hub (NSSH)</v>
      </c>
      <c r="B74" s="42" t="n">
        <f aca="false">'Match Calculator'!N13</f>
        <v>80</v>
      </c>
      <c r="C74" s="42" t="n">
        <f aca="false">RANK(B74,$B$72:$B$82,0)</f>
        <v>4</v>
      </c>
    </row>
    <row r="75" customFormat="false" ht="15" hidden="false" customHeight="true" outlineLevel="0" collapsed="false">
      <c r="A75" s="46" t="str">
        <f aca="false">'Match Calculator'!B14</f>
        <v>PM-DAKSH Yojana</v>
      </c>
      <c r="B75" s="43" t="n">
        <f aca="false">'Match Calculator'!N14</f>
        <v>80</v>
      </c>
      <c r="C75" s="43" t="n">
        <f aca="false">RANK(B75,$B$72:$B$82,0)</f>
        <v>4</v>
      </c>
    </row>
    <row r="76" customFormat="false" ht="15" hidden="false" customHeight="true" outlineLevel="0" collapsed="false">
      <c r="A76" s="45" t="str">
        <f aca="false">'Match Calculator'!B15</f>
        <v>SEED Scheme</v>
      </c>
      <c r="B76" s="42" t="n">
        <f aca="false">'Match Calculator'!N15</f>
        <v>0</v>
      </c>
      <c r="C76" s="42" t="n">
        <f aca="false">RANK(B76,$B$72:$B$82,0)</f>
        <v>9</v>
      </c>
    </row>
    <row r="77" customFormat="false" ht="15" hidden="false" customHeight="true" outlineLevel="0" collapsed="false">
      <c r="A77" s="46" t="str">
        <f aca="false">'Match Calculator'!B16</f>
        <v>Ambedkar Social Innovation &amp; Incubation Mission</v>
      </c>
      <c r="B77" s="43" t="n">
        <f aca="false">'Match Calculator'!N16</f>
        <v>80</v>
      </c>
      <c r="C77" s="43" t="n">
        <f aca="false">RANK(B77,$B$72:$B$82,0)</f>
        <v>4</v>
      </c>
    </row>
    <row r="78" customFormat="false" ht="15" hidden="false" customHeight="true" outlineLevel="0" collapsed="false">
      <c r="A78" s="45" t="str">
        <f aca="false">'Match Calculator'!B17</f>
        <v>SMILE Scheme</v>
      </c>
      <c r="B78" s="42" t="n">
        <f aca="false">'Match Calculator'!N17</f>
        <v>0</v>
      </c>
      <c r="C78" s="42" t="n">
        <f aca="false">RANK(B78,$B$72:$B$82,0)</f>
        <v>9</v>
      </c>
    </row>
    <row r="79" customFormat="false" ht="15" hidden="false" customHeight="true" outlineLevel="0" collapsed="false">
      <c r="A79" s="46" t="str">
        <f aca="false">'Match Calculator'!B18</f>
        <v>SMSA - Marketing Assistance</v>
      </c>
      <c r="B79" s="43" t="n">
        <f aca="false">'Match Calculator'!N18</f>
        <v>80</v>
      </c>
      <c r="C79" s="43" t="n">
        <f aca="false">RANK(B79,$B$72:$B$82,0)</f>
        <v>4</v>
      </c>
    </row>
    <row r="80" customFormat="false" ht="15" hidden="false" customHeight="true" outlineLevel="0" collapsed="false">
      <c r="A80" s="45" t="str">
        <f aca="false">'Match Calculator'!B19</f>
        <v>SIPDA</v>
      </c>
      <c r="B80" s="42" t="n">
        <f aca="false">'Match Calculator'!N19</f>
        <v>0</v>
      </c>
      <c r="C80" s="42" t="n">
        <f aca="false">RANK(B80,$B$72:$B$82,0)</f>
        <v>9</v>
      </c>
    </row>
    <row r="81" customFormat="false" ht="15" hidden="false" customHeight="true" outlineLevel="0" collapsed="false">
      <c r="A81" s="46" t="str">
        <f aca="false">'Match Calculator'!B20</f>
        <v>PM-SURAJ</v>
      </c>
      <c r="B81" s="43" t="n">
        <f aca="false">'Match Calculator'!N20</f>
        <v>100</v>
      </c>
      <c r="C81" s="43" t="n">
        <f aca="false">RANK(B81,$B$72:$B$82,0)</f>
        <v>1</v>
      </c>
    </row>
    <row r="82" customFormat="false" ht="15" hidden="false" customHeight="true" outlineLevel="0" collapsed="false">
      <c r="A82" s="45" t="str">
        <f aca="false">'Match Calculator'!B21</f>
        <v>Free Coaching Scheme (SC/OBC)</v>
      </c>
      <c r="B82" s="42" t="n">
        <f aca="false">'Match Calculator'!N21</f>
        <v>80</v>
      </c>
      <c r="C82" s="42" t="n">
        <f aca="false">RANK(B82,$B$72:$B$82,0)</f>
        <v>4</v>
      </c>
    </row>
    <row r="85" customFormat="false" ht="21.75" hidden="false" customHeight="true" outlineLevel="0" collapsed="false">
      <c r="A85" s="4" t="s">
        <v>332</v>
      </c>
      <c r="B85" s="4"/>
      <c r="C85" s="4"/>
      <c r="D85" s="4"/>
      <c r="E85" s="4"/>
      <c r="F85" s="4"/>
      <c r="G85" s="4"/>
    </row>
    <row r="87" customFormat="false" ht="15" hidden="false" customHeight="true" outlineLevel="0" collapsed="false">
      <c r="A87" s="10" t="s">
        <v>333</v>
      </c>
    </row>
    <row r="88" customFormat="false" ht="15" hidden="false" customHeight="true" outlineLevel="0" collapsed="false">
      <c r="A88" s="38" t="s">
        <v>334</v>
      </c>
    </row>
    <row r="89" customFormat="false" ht="15" hidden="false" customHeight="true" outlineLevel="0" collapsed="false">
      <c r="A89" s="38" t="s">
        <v>335</v>
      </c>
    </row>
    <row r="91" customFormat="false" ht="15" hidden="false" customHeight="true" outlineLevel="0" collapsed="false">
      <c r="A91" s="10" t="s">
        <v>336</v>
      </c>
    </row>
    <row r="92" customFormat="false" ht="15" hidden="false" customHeight="true" outlineLevel="0" collapsed="false">
      <c r="A92" s="38" t="s">
        <v>337</v>
      </c>
    </row>
    <row r="93" customFormat="false" ht="15" hidden="false" customHeight="true" outlineLevel="0" collapsed="false">
      <c r="A93" s="38" t="s">
        <v>338</v>
      </c>
    </row>
    <row r="95" customFormat="false" ht="15" hidden="false" customHeight="true" outlineLevel="0" collapsed="false">
      <c r="A95" s="10" t="s">
        <v>339</v>
      </c>
    </row>
    <row r="96" customFormat="false" ht="25.5" hidden="false" customHeight="true" outlineLevel="0" collapsed="false">
      <c r="A96" s="11" t="s">
        <v>340</v>
      </c>
      <c r="B96" s="11" t="s">
        <v>341</v>
      </c>
    </row>
    <row r="97" customFormat="false" ht="15" hidden="false" customHeight="true" outlineLevel="0" collapsed="false">
      <c r="A97" s="48" t="s">
        <v>40</v>
      </c>
      <c r="B97" s="48" t="s">
        <v>342</v>
      </c>
    </row>
    <row r="98" customFormat="false" ht="15" hidden="false" customHeight="true" outlineLevel="0" collapsed="false">
      <c r="A98" s="49" t="s">
        <v>40</v>
      </c>
      <c r="B98" s="49" t="s">
        <v>342</v>
      </c>
    </row>
    <row r="99" customFormat="false" ht="15" hidden="false" customHeight="true" outlineLevel="0" collapsed="false">
      <c r="A99" s="48" t="s">
        <v>40</v>
      </c>
      <c r="B99" s="48" t="s">
        <v>343</v>
      </c>
    </row>
    <row r="100" customFormat="false" ht="15" hidden="false" customHeight="true" outlineLevel="0" collapsed="false">
      <c r="A100" s="49" t="s">
        <v>40</v>
      </c>
      <c r="B100" s="49" t="s">
        <v>343</v>
      </c>
    </row>
    <row r="101" customFormat="false" ht="15" hidden="false" customHeight="true" outlineLevel="0" collapsed="false">
      <c r="A101" s="48" t="s">
        <v>344</v>
      </c>
      <c r="B101" s="48" t="s">
        <v>342</v>
      </c>
    </row>
    <row r="102" customFormat="false" ht="15" hidden="false" customHeight="true" outlineLevel="0" collapsed="false">
      <c r="A102" s="49" t="s">
        <v>344</v>
      </c>
      <c r="B102" s="49" t="s">
        <v>342</v>
      </c>
    </row>
    <row r="103" customFormat="false" ht="15" hidden="false" customHeight="true" outlineLevel="0" collapsed="false">
      <c r="A103" s="48" t="s">
        <v>344</v>
      </c>
      <c r="B103" s="48" t="s">
        <v>342</v>
      </c>
    </row>
    <row r="104" customFormat="false" ht="15" hidden="false" customHeight="true" outlineLevel="0" collapsed="false">
      <c r="A104" s="49" t="s">
        <v>344</v>
      </c>
      <c r="B104" s="49" t="s">
        <v>343</v>
      </c>
    </row>
    <row r="106" customFormat="false" ht="15" hidden="false" customHeight="true" outlineLevel="0" collapsed="false">
      <c r="A106" s="50" t="s">
        <v>340</v>
      </c>
      <c r="B106" s="50" t="s">
        <v>345</v>
      </c>
    </row>
    <row r="107" customFormat="false" ht="15" hidden="false" customHeight="true" outlineLevel="0" collapsed="false">
      <c r="A107" s="45" t="s">
        <v>40</v>
      </c>
      <c r="B107" s="51" t="n">
        <f aca="false">1-(COUNTIFS($A$97:$A$104,A107,$B$97:$B$104,"Approved")/COUNTIF($A$97:$A$104,A107))</f>
        <v>0.5</v>
      </c>
    </row>
    <row r="108" customFormat="false" ht="15" hidden="false" customHeight="true" outlineLevel="0" collapsed="false">
      <c r="A108" s="46" t="s">
        <v>344</v>
      </c>
      <c r="B108" s="52" t="n">
        <f aca="false">1-(COUNTIFS($A$97:$A$104,A108,$B$97:$B$104,"Approved")/COUNTIF($A$97:$A$104,A108))</f>
        <v>0.25</v>
      </c>
    </row>
    <row r="110" customFormat="false" ht="15" hidden="false" customHeight="true" outlineLevel="0" collapsed="false">
      <c r="A110" s="44" t="s">
        <v>346</v>
      </c>
      <c r="B110" s="44"/>
      <c r="C110" s="44"/>
      <c r="D110" s="44"/>
      <c r="E110" s="44"/>
      <c r="F110" s="44"/>
      <c r="G110" s="44"/>
    </row>
  </sheetData>
  <mergeCells count="13">
    <mergeCell ref="A1:G1"/>
    <mergeCell ref="A2:G2"/>
    <mergeCell ref="A4:G4"/>
    <mergeCell ref="A23:G23"/>
    <mergeCell ref="A25:G25"/>
    <mergeCell ref="A37:G37"/>
    <mergeCell ref="A39:G39"/>
    <mergeCell ref="A51:G51"/>
    <mergeCell ref="A56:G56"/>
    <mergeCell ref="A63:G63"/>
    <mergeCell ref="A65:G65"/>
    <mergeCell ref="A85:G85"/>
    <mergeCell ref="A110:G110"/>
  </mergeCells>
  <printOptions headings="false" gridLines="false" gridLinesSet="true" horizontalCentered="false" verticalCentered="false"/>
  <pageMargins left="0.3" right="0.3" top="0.4" bottom="0.4"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2026-09-25T00:18:02Z</dcterms:created>
  <dc:creator>openpyxl</dc:creator>
  <dc:description/>
  <dc:language>en-US</dc:language>
  <cp:lastModifiedBy/>
  <dcterms:modified xsi:type="dcterms:W3CDTF">2026-09-25T00:21:23Z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